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Z:\4-1 Training\"/>
    </mc:Choice>
  </mc:AlternateContent>
  <xr:revisionPtr revIDLastSave="0" documentId="14_{36EE183D-2F82-4961-A6C9-CB2D468E027E}" xr6:coauthVersionLast="47" xr6:coauthVersionMax="47" xr10:uidLastSave="{00000000-0000-0000-0000-000000000000}"/>
  <bookViews>
    <workbookView xWindow="-120" yWindow="-120" windowWidth="29040" windowHeight="15720" activeTab="1" xr2:uid="{00000000-000D-0000-FFFF-FFFF00000000}"/>
  </bookViews>
  <sheets>
    <sheet name="Sales_Data" sheetId="1" r:id="rId1"/>
    <sheet name="Sheet1" sheetId="2" r:id="rId2"/>
  </sheets>
  <definedNames>
    <definedName name="Slicer_Category">#N/A</definedName>
    <definedName name="Slicer_Month">#N/A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28" i="1" l="1"/>
  <c r="M26" i="1"/>
  <c r="M25" i="1"/>
  <c r="M23" i="1"/>
  <c r="M22" i="1"/>
</calcChain>
</file>

<file path=xl/sharedStrings.xml><?xml version="1.0" encoding="utf-8"?>
<sst xmlns="http://schemas.openxmlformats.org/spreadsheetml/2006/main" count="1459" uniqueCount="373">
  <si>
    <t>Order_ID</t>
  </si>
  <si>
    <t>Order_Date</t>
  </si>
  <si>
    <t>Customer_Name</t>
  </si>
  <si>
    <t>Region</t>
  </si>
  <si>
    <t>Category</t>
  </si>
  <si>
    <t>Product</t>
  </si>
  <si>
    <t>Quantity</t>
  </si>
  <si>
    <t>Unit_Price</t>
  </si>
  <si>
    <t>Sales_Amount</t>
  </si>
  <si>
    <t>Month</t>
  </si>
  <si>
    <t>O001</t>
  </si>
  <si>
    <t>14-05-2025</t>
  </si>
  <si>
    <t>Suma</t>
  </si>
  <si>
    <t>East</t>
  </si>
  <si>
    <t>Fashion</t>
  </si>
  <si>
    <t>Jeans</t>
  </si>
  <si>
    <t>May</t>
  </si>
  <si>
    <t>O002</t>
  </si>
  <si>
    <t>30-03-2025</t>
  </si>
  <si>
    <t>Priya</t>
  </si>
  <si>
    <t>Electronics</t>
  </si>
  <si>
    <t>Smart Watch</t>
  </si>
  <si>
    <t>March</t>
  </si>
  <si>
    <t>O003</t>
  </si>
  <si>
    <t>08-02-2025</t>
  </si>
  <si>
    <t>Kiran</t>
  </si>
  <si>
    <t>North</t>
  </si>
  <si>
    <t>Home</t>
  </si>
  <si>
    <t>Bottle</t>
  </si>
  <si>
    <t>February</t>
  </si>
  <si>
    <t>O004</t>
  </si>
  <si>
    <t>14-03-2025</t>
  </si>
  <si>
    <t>Chinnu</t>
  </si>
  <si>
    <t>Jacket</t>
  </si>
  <si>
    <t>O005</t>
  </si>
  <si>
    <t>06-05-2025</t>
  </si>
  <si>
    <t>O006</t>
  </si>
  <si>
    <t>28-03-2025</t>
  </si>
  <si>
    <t>West</t>
  </si>
  <si>
    <t>Mouse</t>
  </si>
  <si>
    <t>O007</t>
  </si>
  <si>
    <t>20-02-2025</t>
  </si>
  <si>
    <t>Chair</t>
  </si>
  <si>
    <t>O008</t>
  </si>
  <si>
    <t>27-03-2025</t>
  </si>
  <si>
    <t>Anu</t>
  </si>
  <si>
    <t>O009</t>
  </si>
  <si>
    <t>26-05-2025</t>
  </si>
  <si>
    <t>Jyothi</t>
  </si>
  <si>
    <t>South</t>
  </si>
  <si>
    <t>O010</t>
  </si>
  <si>
    <t>20-01-2025</t>
  </si>
  <si>
    <t>Naani</t>
  </si>
  <si>
    <t>January</t>
  </si>
  <si>
    <t>O011</t>
  </si>
  <si>
    <t>16-01-2025</t>
  </si>
  <si>
    <t>Ravi</t>
  </si>
  <si>
    <t>Shoes</t>
  </si>
  <si>
    <t>O012</t>
  </si>
  <si>
    <t>23-05-2025</t>
  </si>
  <si>
    <t>Harsha</t>
  </si>
  <si>
    <t>O013</t>
  </si>
  <si>
    <t>01-01-2025</t>
  </si>
  <si>
    <t>O014</t>
  </si>
  <si>
    <t>28-06-2025</t>
  </si>
  <si>
    <t>June</t>
  </si>
  <si>
    <t>O015</t>
  </si>
  <si>
    <t>04-03-2025</t>
  </si>
  <si>
    <t>T-Shirt</t>
  </si>
  <si>
    <t>O016</t>
  </si>
  <si>
    <t>24-01-2025</t>
  </si>
  <si>
    <t>O017</t>
  </si>
  <si>
    <t>22-06-2025</t>
  </si>
  <si>
    <t>O018</t>
  </si>
  <si>
    <t>16-03-2025</t>
  </si>
  <si>
    <t>Keyboard</t>
  </si>
  <si>
    <t>O019</t>
  </si>
  <si>
    <t>12-01-2025</t>
  </si>
  <si>
    <t>Mixer</t>
  </si>
  <si>
    <t>O020</t>
  </si>
  <si>
    <t>20-03-2025</t>
  </si>
  <si>
    <t>Deepak</t>
  </si>
  <si>
    <t>O021</t>
  </si>
  <si>
    <t>06-03-2025</t>
  </si>
  <si>
    <t>Kurti</t>
  </si>
  <si>
    <t>O022</t>
  </si>
  <si>
    <t>19-05-2025</t>
  </si>
  <si>
    <t>O023</t>
  </si>
  <si>
    <t>O024</t>
  </si>
  <si>
    <t>08-05-2025</t>
  </si>
  <si>
    <t>O025</t>
  </si>
  <si>
    <t>16-02-2025</t>
  </si>
  <si>
    <t>Laptop Bag</t>
  </si>
  <si>
    <t>O026</t>
  </si>
  <si>
    <t>11-06-2025</t>
  </si>
  <si>
    <t>O027</t>
  </si>
  <si>
    <t>O028</t>
  </si>
  <si>
    <t>Lamp</t>
  </si>
  <si>
    <t>O029</t>
  </si>
  <si>
    <t>15-02-2025</t>
  </si>
  <si>
    <t>O030</t>
  </si>
  <si>
    <t>02-05-2025</t>
  </si>
  <si>
    <t>O031</t>
  </si>
  <si>
    <t>Table</t>
  </si>
  <si>
    <t>O032</t>
  </si>
  <si>
    <t>02-02-2025</t>
  </si>
  <si>
    <t>O033</t>
  </si>
  <si>
    <t>13-06-2025</t>
  </si>
  <si>
    <t>O034</t>
  </si>
  <si>
    <t>19-06-2025</t>
  </si>
  <si>
    <t>O035</t>
  </si>
  <si>
    <t>28-01-2025</t>
  </si>
  <si>
    <t>Earbuds</t>
  </si>
  <si>
    <t>O036</t>
  </si>
  <si>
    <t>08-04-2025</t>
  </si>
  <si>
    <t>April</t>
  </si>
  <si>
    <t>O037</t>
  </si>
  <si>
    <t>31-03-2025</t>
  </si>
  <si>
    <t>O038</t>
  </si>
  <si>
    <t>O039</t>
  </si>
  <si>
    <t>22-01-2025</t>
  </si>
  <si>
    <t>O040</t>
  </si>
  <si>
    <t>10-06-2025</t>
  </si>
  <si>
    <t>O041</t>
  </si>
  <si>
    <t>15-04-2025</t>
  </si>
  <si>
    <t>O042</t>
  </si>
  <si>
    <t>09-03-2025</t>
  </si>
  <si>
    <t>O043</t>
  </si>
  <si>
    <t>09-02-2025</t>
  </si>
  <si>
    <t>O044</t>
  </si>
  <si>
    <t>07-06-2025</t>
  </si>
  <si>
    <t>O045</t>
  </si>
  <si>
    <t>O046</t>
  </si>
  <si>
    <t>29-06-2025</t>
  </si>
  <si>
    <t>O047</t>
  </si>
  <si>
    <t>30-04-2025</t>
  </si>
  <si>
    <t>O048</t>
  </si>
  <si>
    <t>03-06-2025</t>
  </si>
  <si>
    <t>O049</t>
  </si>
  <si>
    <t>24-05-2025</t>
  </si>
  <si>
    <t>O050</t>
  </si>
  <si>
    <t>10-03-2025</t>
  </si>
  <si>
    <t>O051</t>
  </si>
  <si>
    <t>17-01-2025</t>
  </si>
  <si>
    <t>O052</t>
  </si>
  <si>
    <t>16-04-2025</t>
  </si>
  <si>
    <t>O053</t>
  </si>
  <si>
    <t>23-02-2025</t>
  </si>
  <si>
    <t>O054</t>
  </si>
  <si>
    <t>08-06-2025</t>
  </si>
  <si>
    <t>O055</t>
  </si>
  <si>
    <t>O056</t>
  </si>
  <si>
    <t>30-06-2025</t>
  </si>
  <si>
    <t>O057</t>
  </si>
  <si>
    <t>04-06-2025</t>
  </si>
  <si>
    <t>O058</t>
  </si>
  <si>
    <t>01-03-2025</t>
  </si>
  <si>
    <t>O059</t>
  </si>
  <si>
    <t>20-04-2025</t>
  </si>
  <si>
    <t>O060</t>
  </si>
  <si>
    <t>27-06-2025</t>
  </si>
  <si>
    <t>O061</t>
  </si>
  <si>
    <t>14-04-2025</t>
  </si>
  <si>
    <t>O062</t>
  </si>
  <si>
    <t>22-03-2025</t>
  </si>
  <si>
    <t>O063</t>
  </si>
  <si>
    <t>03-05-2025</t>
  </si>
  <si>
    <t>O064</t>
  </si>
  <si>
    <t>O065</t>
  </si>
  <si>
    <t>04-04-2025</t>
  </si>
  <si>
    <t>O066</t>
  </si>
  <si>
    <t>25-02-2025</t>
  </si>
  <si>
    <t>O067</t>
  </si>
  <si>
    <t>12-03-2025</t>
  </si>
  <si>
    <t>O068</t>
  </si>
  <si>
    <t>O069</t>
  </si>
  <si>
    <t>18-06-2025</t>
  </si>
  <si>
    <t>O070</t>
  </si>
  <si>
    <t>O071</t>
  </si>
  <si>
    <t>O072</t>
  </si>
  <si>
    <t>10-02-2025</t>
  </si>
  <si>
    <t>O073</t>
  </si>
  <si>
    <t>O074</t>
  </si>
  <si>
    <t>O075</t>
  </si>
  <si>
    <t>12-05-2025</t>
  </si>
  <si>
    <t>O076</t>
  </si>
  <si>
    <t>24-03-2025</t>
  </si>
  <si>
    <t>O077</t>
  </si>
  <si>
    <t>03-03-2025</t>
  </si>
  <si>
    <t>O078</t>
  </si>
  <si>
    <t>O079</t>
  </si>
  <si>
    <t>O080</t>
  </si>
  <si>
    <t>O081</t>
  </si>
  <si>
    <t>O082</t>
  </si>
  <si>
    <t>O083</t>
  </si>
  <si>
    <t>O084</t>
  </si>
  <si>
    <t>08-03-2025</t>
  </si>
  <si>
    <t>O085</t>
  </si>
  <si>
    <t>O086</t>
  </si>
  <si>
    <t>O087</t>
  </si>
  <si>
    <t>11-05-2025</t>
  </si>
  <si>
    <t>O088</t>
  </si>
  <si>
    <t>27-05-2025</t>
  </si>
  <si>
    <t>O089</t>
  </si>
  <si>
    <t>18-01-2025</t>
  </si>
  <si>
    <t>O090</t>
  </si>
  <si>
    <t>O091</t>
  </si>
  <si>
    <t>O092</t>
  </si>
  <si>
    <t>O093</t>
  </si>
  <si>
    <t>07-03-2025</t>
  </si>
  <si>
    <t>O094</t>
  </si>
  <si>
    <t>06-04-2025</t>
  </si>
  <si>
    <t>O095</t>
  </si>
  <si>
    <t>21-03-2025</t>
  </si>
  <si>
    <t>O096</t>
  </si>
  <si>
    <t>26-04-2025</t>
  </si>
  <si>
    <t>O097</t>
  </si>
  <si>
    <t>O098</t>
  </si>
  <si>
    <t>04-02-2025</t>
  </si>
  <si>
    <t>O099</t>
  </si>
  <si>
    <t>O100</t>
  </si>
  <si>
    <t>02-01-2025</t>
  </si>
  <si>
    <t>O101</t>
  </si>
  <si>
    <t>17-03-2025</t>
  </si>
  <si>
    <t>O102</t>
  </si>
  <si>
    <t>10-04-2025</t>
  </si>
  <si>
    <t>O103</t>
  </si>
  <si>
    <t>05-06-2025</t>
  </si>
  <si>
    <t>O104</t>
  </si>
  <si>
    <t>24-04-2025</t>
  </si>
  <si>
    <t>O105</t>
  </si>
  <si>
    <t>O106</t>
  </si>
  <si>
    <t>14-01-2025</t>
  </si>
  <si>
    <t>O107</t>
  </si>
  <si>
    <t>18-02-2025</t>
  </si>
  <si>
    <t>O108</t>
  </si>
  <si>
    <t>13-03-2025</t>
  </si>
  <si>
    <t>O109</t>
  </si>
  <si>
    <t>11-01-2025</t>
  </si>
  <si>
    <t>O110</t>
  </si>
  <si>
    <t>O111</t>
  </si>
  <si>
    <t>O112</t>
  </si>
  <si>
    <t>03-04-2025</t>
  </si>
  <si>
    <t>O113</t>
  </si>
  <si>
    <t>15-06-2025</t>
  </si>
  <si>
    <t>O114</t>
  </si>
  <si>
    <t>15-01-2025</t>
  </si>
  <si>
    <t>O115</t>
  </si>
  <si>
    <t>O116</t>
  </si>
  <si>
    <t>O117</t>
  </si>
  <si>
    <t>24-06-2025</t>
  </si>
  <si>
    <t>O118</t>
  </si>
  <si>
    <t>O119</t>
  </si>
  <si>
    <t>O120</t>
  </si>
  <si>
    <t>09-04-2025</t>
  </si>
  <si>
    <t>O121</t>
  </si>
  <si>
    <t>11-03-2025</t>
  </si>
  <si>
    <t>O122</t>
  </si>
  <si>
    <t>12-06-2025</t>
  </si>
  <si>
    <t>O123</t>
  </si>
  <si>
    <t>O124</t>
  </si>
  <si>
    <t>O125</t>
  </si>
  <si>
    <t>21-05-2025</t>
  </si>
  <si>
    <t>O126</t>
  </si>
  <si>
    <t>04-05-2025</t>
  </si>
  <si>
    <t>O127</t>
  </si>
  <si>
    <t>31-05-2025</t>
  </si>
  <si>
    <t>O128</t>
  </si>
  <si>
    <t>19-02-2025</t>
  </si>
  <si>
    <t>O129</t>
  </si>
  <si>
    <t>O130</t>
  </si>
  <si>
    <t>21-04-2025</t>
  </si>
  <si>
    <t>O131</t>
  </si>
  <si>
    <t>15-05-2025</t>
  </si>
  <si>
    <t>O132</t>
  </si>
  <si>
    <t>O133</t>
  </si>
  <si>
    <t>23-04-2025</t>
  </si>
  <si>
    <t>O134</t>
  </si>
  <si>
    <t>O135</t>
  </si>
  <si>
    <t>O136</t>
  </si>
  <si>
    <t>05-05-2025</t>
  </si>
  <si>
    <t>O137</t>
  </si>
  <si>
    <t>O138</t>
  </si>
  <si>
    <t>28-05-2025</t>
  </si>
  <si>
    <t>O139</t>
  </si>
  <si>
    <t>O140</t>
  </si>
  <si>
    <t>27-04-2025</t>
  </si>
  <si>
    <t>O141</t>
  </si>
  <si>
    <t>O142</t>
  </si>
  <si>
    <t>O143</t>
  </si>
  <si>
    <t>O144</t>
  </si>
  <si>
    <t>09-05-2025</t>
  </si>
  <si>
    <t>O145</t>
  </si>
  <si>
    <t>22-04-2025</t>
  </si>
  <si>
    <t>O146</t>
  </si>
  <si>
    <t>O147</t>
  </si>
  <si>
    <t>O148</t>
  </si>
  <si>
    <t>03-01-2025</t>
  </si>
  <si>
    <t>O149</t>
  </si>
  <si>
    <t>O150</t>
  </si>
  <si>
    <t>27-01-2025</t>
  </si>
  <si>
    <t>O151</t>
  </si>
  <si>
    <t>O152</t>
  </si>
  <si>
    <t>O153</t>
  </si>
  <si>
    <t>O154</t>
  </si>
  <si>
    <t>13-02-2025</t>
  </si>
  <si>
    <t>O155</t>
  </si>
  <si>
    <t>O156</t>
  </si>
  <si>
    <t>19-03-2025</t>
  </si>
  <si>
    <t>O157</t>
  </si>
  <si>
    <t>O158</t>
  </si>
  <si>
    <t>O159</t>
  </si>
  <si>
    <t>O160</t>
  </si>
  <si>
    <t>O161</t>
  </si>
  <si>
    <t>01-06-2025</t>
  </si>
  <si>
    <t>O162</t>
  </si>
  <si>
    <t>23-06-2025</t>
  </si>
  <si>
    <t>O163</t>
  </si>
  <si>
    <t>O164</t>
  </si>
  <si>
    <t>O165</t>
  </si>
  <si>
    <t>25-05-2025</t>
  </si>
  <si>
    <t>O166</t>
  </si>
  <si>
    <t>O167</t>
  </si>
  <si>
    <t>01-05-2025</t>
  </si>
  <si>
    <t>O168</t>
  </si>
  <si>
    <t>O169</t>
  </si>
  <si>
    <t>27-02-2025</t>
  </si>
  <si>
    <t>O170</t>
  </si>
  <si>
    <t>O171</t>
  </si>
  <si>
    <t>O172</t>
  </si>
  <si>
    <t>07-02-2025</t>
  </si>
  <si>
    <t>O173</t>
  </si>
  <si>
    <t>O174</t>
  </si>
  <si>
    <t>O175</t>
  </si>
  <si>
    <t>O176</t>
  </si>
  <si>
    <t>14-02-2025</t>
  </si>
  <si>
    <t>O177</t>
  </si>
  <si>
    <t>18-03-2025</t>
  </si>
  <si>
    <t>O178</t>
  </si>
  <si>
    <t>05-01-2025</t>
  </si>
  <si>
    <t>O179</t>
  </si>
  <si>
    <t>O180</t>
  </si>
  <si>
    <t>26-02-2025</t>
  </si>
  <si>
    <t>O181</t>
  </si>
  <si>
    <t>O182</t>
  </si>
  <si>
    <t>O183</t>
  </si>
  <si>
    <t>O184</t>
  </si>
  <si>
    <t>26-01-2025</t>
  </si>
  <si>
    <t>O185</t>
  </si>
  <si>
    <t>O186</t>
  </si>
  <si>
    <t>O187</t>
  </si>
  <si>
    <t>O188</t>
  </si>
  <si>
    <t>O189</t>
  </si>
  <si>
    <t>O190</t>
  </si>
  <si>
    <t>10-01-2025</t>
  </si>
  <si>
    <t>O191</t>
  </si>
  <si>
    <t>O192</t>
  </si>
  <si>
    <t>28-02-2025</t>
  </si>
  <si>
    <t>O193</t>
  </si>
  <si>
    <t>31-01-2025</t>
  </si>
  <si>
    <t>O194</t>
  </si>
  <si>
    <t>O195</t>
  </si>
  <si>
    <t>O196</t>
  </si>
  <si>
    <t>O197</t>
  </si>
  <si>
    <t>O198</t>
  </si>
  <si>
    <t>O199</t>
  </si>
  <si>
    <t>18-04-2025</t>
  </si>
  <si>
    <t>O200</t>
  </si>
  <si>
    <t>05-02-2025</t>
  </si>
  <si>
    <t>Row Labels</t>
  </si>
  <si>
    <t>Grand Total</t>
  </si>
  <si>
    <t>Sum of Sales_Amount</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</si>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</sst>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scheme val="minor"/>
    </font>
    <font>
      <sz val="12"/>
      <name val="Calibri"/>
      <family val="2"/>
      <scheme val="minor"/>
    </font>
    <font>
      <sz val="11"/>
      <name val="Calibri"/>
      <family val="2"/>
      <scheme val="minor"/>
    </font>
  </fonts>
  <fills count="5">
    <fill>
      <patternFill patternType="none"/>
    </fill>
    <fill>
      <patternFill patternType="gray125"/>
    </fill>
    <fill>
      <patternFill patternType="solid">
        <fgColor theme="6"/>
        <bgColor indexed="64"/>
      </patternFill>
    </fill>
    <fill>
      <patternFill patternType="solid">
        <fgColor theme="6" tint="0.79998168889431442"/>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3" fontId="0" fillId="0" borderId="0" xfId="0" applyNumberFormat="1"/>
    <xf numFmtId="0" fontId="2" fillId="0" borderId="0" xfId="0" applyFont="1"/>
    <xf numFmtId="0" fontId="0" fillId="4" borderId="0" xfId="0" applyFill="1"/>
  </cellXfs>
  <cellStyles count="1">
    <cellStyle name="Normal" xfId="0" builtinId="0"/>
  </cellStyles>
  <dxfs count="5">
    <dxf>
      <numFmt numFmtId="3" formatCode="#,##0"/>
    </dxf>
    <dxf>
      <numFmt numFmtId="3" formatCode="#,##0"/>
    </dxf>
    <dxf>
      <numFmt numFmtId="4" formatCode="#,##0.0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dashboard.xlsx]Sales_Data!PivotTable1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Sales_Data!$N$1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Sales_Data!$M$2:$M$8</c:f>
              <c:strCache>
                <c:ptCount val="6"/>
                <c:pt idx="0">
                  <c:v>January</c:v>
                </c:pt>
                <c:pt idx="1">
                  <c:v>February</c:v>
                </c:pt>
                <c:pt idx="2">
                  <c:v>March</c:v>
                </c:pt>
                <c:pt idx="3">
                  <c:v>April</c:v>
                </c:pt>
                <c:pt idx="4">
                  <c:v>May</c:v>
                </c:pt>
                <c:pt idx="5">
                  <c:v>June</c:v>
                </c:pt>
              </c:strCache>
            </c:strRef>
          </c:cat>
          <c:val>
            <c:numRef>
              <c:f>Sales_Data!$N$2:$N$8</c:f>
              <c:numCache>
                <c:formatCode>General</c:formatCode>
                <c:ptCount val="6"/>
                <c:pt idx="0">
                  <c:v>122400</c:v>
                </c:pt>
                <c:pt idx="1">
                  <c:v>199800</c:v>
                </c:pt>
                <c:pt idx="2">
                  <c:v>210500</c:v>
                </c:pt>
                <c:pt idx="3">
                  <c:v>149800</c:v>
                </c:pt>
                <c:pt idx="4">
                  <c:v>198900</c:v>
                </c:pt>
                <c:pt idx="5">
                  <c:v>173400</c:v>
                </c:pt>
              </c:numCache>
            </c:numRef>
          </c:val>
          <c:smooth val="0"/>
          <c:extLst>
            <c:ext xmlns:c16="http://schemas.microsoft.com/office/drawing/2014/chart" uri="{C3380CC4-5D6E-409C-BE32-E72D297353CC}">
              <c16:uniqueId val="{00000000-81BD-4AB2-9B44-C4FB8810639F}"/>
            </c:ext>
          </c:extLst>
        </c:ser>
        <c:dLbls>
          <c:showLegendKey val="0"/>
          <c:showVal val="0"/>
          <c:showCatName val="0"/>
          <c:showSerName val="0"/>
          <c:showPercent val="0"/>
          <c:showBubbleSize val="0"/>
        </c:dLbls>
        <c:marker val="1"/>
        <c:smooth val="0"/>
        <c:axId val="1590721263"/>
        <c:axId val="1601158447"/>
      </c:lineChart>
      <c:catAx>
        <c:axId val="159072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58447"/>
        <c:crosses val="autoZero"/>
        <c:auto val="1"/>
        <c:lblAlgn val="ctr"/>
        <c:lblOffset val="100"/>
        <c:noMultiLvlLbl val="0"/>
      </c:catAx>
      <c:valAx>
        <c:axId val="160115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2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dashboard.xlsx]Sales_Data!PivotTable2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Products</a:t>
            </a:r>
            <a:endParaRPr lang="en-US"/>
          </a:p>
        </c:rich>
      </c:tx>
      <c:layout>
        <c:manualLayout>
          <c:xMode val="edge"/>
          <c:yMode val="edge"/>
          <c:x val="0.2874846899525381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Sales_Data!$T$1</c:f>
              <c:strCache>
                <c:ptCount val="1"/>
                <c:pt idx="0">
                  <c:v>Total</c:v>
                </c:pt>
              </c:strCache>
            </c:strRef>
          </c:tx>
          <c:spPr>
            <a:solidFill>
              <a:schemeClr val="accent1"/>
            </a:solidFill>
            <a:ln>
              <a:noFill/>
            </a:ln>
            <a:effectLst/>
          </c:spPr>
          <c:invertIfNegative val="0"/>
          <c:cat>
            <c:strRef>
              <c:f>Sales_Data!$S$2:$S$17</c:f>
              <c:strCache>
                <c:ptCount val="15"/>
                <c:pt idx="0">
                  <c:v>Bottle</c:v>
                </c:pt>
                <c:pt idx="1">
                  <c:v>Chair</c:v>
                </c:pt>
                <c:pt idx="2">
                  <c:v>Earbuds</c:v>
                </c:pt>
                <c:pt idx="3">
                  <c:v>Jacket</c:v>
                </c:pt>
                <c:pt idx="4">
                  <c:v>Jeans</c:v>
                </c:pt>
                <c:pt idx="5">
                  <c:v>Keyboard</c:v>
                </c:pt>
                <c:pt idx="6">
                  <c:v>Kurti</c:v>
                </c:pt>
                <c:pt idx="7">
                  <c:v>Lamp</c:v>
                </c:pt>
                <c:pt idx="8">
                  <c:v>Laptop Bag</c:v>
                </c:pt>
                <c:pt idx="9">
                  <c:v>Mixer</c:v>
                </c:pt>
                <c:pt idx="10">
                  <c:v>Mouse</c:v>
                </c:pt>
                <c:pt idx="11">
                  <c:v>Shoes</c:v>
                </c:pt>
                <c:pt idx="12">
                  <c:v>Smart Watch</c:v>
                </c:pt>
                <c:pt idx="13">
                  <c:v>Table</c:v>
                </c:pt>
                <c:pt idx="14">
                  <c:v>T-Shirt</c:v>
                </c:pt>
              </c:strCache>
            </c:strRef>
          </c:cat>
          <c:val>
            <c:numRef>
              <c:f>Sales_Data!$T$2:$T$17</c:f>
              <c:numCache>
                <c:formatCode>#,##0.00</c:formatCode>
                <c:ptCount val="15"/>
                <c:pt idx="0">
                  <c:v>12000</c:v>
                </c:pt>
                <c:pt idx="1">
                  <c:v>102000</c:v>
                </c:pt>
                <c:pt idx="2">
                  <c:v>33600</c:v>
                </c:pt>
                <c:pt idx="3">
                  <c:v>87500</c:v>
                </c:pt>
                <c:pt idx="4">
                  <c:v>37200</c:v>
                </c:pt>
                <c:pt idx="5">
                  <c:v>43200</c:v>
                </c:pt>
                <c:pt idx="6">
                  <c:v>27900</c:v>
                </c:pt>
                <c:pt idx="7">
                  <c:v>31500</c:v>
                </c:pt>
                <c:pt idx="8">
                  <c:v>34500</c:v>
                </c:pt>
                <c:pt idx="9">
                  <c:v>94600</c:v>
                </c:pt>
                <c:pt idx="10">
                  <c:v>22800</c:v>
                </c:pt>
                <c:pt idx="11">
                  <c:v>81000</c:v>
                </c:pt>
                <c:pt idx="12">
                  <c:v>238000</c:v>
                </c:pt>
                <c:pt idx="13">
                  <c:v>189000</c:v>
                </c:pt>
                <c:pt idx="14">
                  <c:v>20000</c:v>
                </c:pt>
              </c:numCache>
            </c:numRef>
          </c:val>
          <c:extLst>
            <c:ext xmlns:c16="http://schemas.microsoft.com/office/drawing/2014/chart" uri="{C3380CC4-5D6E-409C-BE32-E72D297353CC}">
              <c16:uniqueId val="{00000000-D6DA-4330-B8F9-2CEA1F91284D}"/>
            </c:ext>
          </c:extLst>
        </c:ser>
        <c:dLbls>
          <c:showLegendKey val="0"/>
          <c:showVal val="0"/>
          <c:showCatName val="0"/>
          <c:showSerName val="0"/>
          <c:showPercent val="0"/>
          <c:showBubbleSize val="0"/>
        </c:dLbls>
        <c:gapWidth val="182"/>
        <c:axId val="1660390815"/>
        <c:axId val="1660388895"/>
      </c:barChart>
      <c:catAx>
        <c:axId val="166039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388895"/>
        <c:crosses val="autoZero"/>
        <c:auto val="1"/>
        <c:lblAlgn val="ctr"/>
        <c:lblOffset val="100"/>
        <c:noMultiLvlLbl val="0"/>
      </c:catAx>
      <c:valAx>
        <c:axId val="16603888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39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dashboard.xlsx]Sales_Data!PivotTable3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Sales_Data!$Y$1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02-4160-AA40-C4C8C41CF0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02-4160-AA40-C4C8C41CF0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02-4160-AA40-C4C8C41CF073}"/>
              </c:ext>
            </c:extLst>
          </c:dPt>
          <c:cat>
            <c:strRef>
              <c:f>Sales_Data!$X$2:$X$5</c:f>
              <c:strCache>
                <c:ptCount val="3"/>
                <c:pt idx="0">
                  <c:v>Electronics</c:v>
                </c:pt>
                <c:pt idx="1">
                  <c:v>Fashion</c:v>
                </c:pt>
                <c:pt idx="2">
                  <c:v>Home</c:v>
                </c:pt>
              </c:strCache>
            </c:strRef>
          </c:cat>
          <c:val>
            <c:numRef>
              <c:f>Sales_Data!$Y$2:$Y$5</c:f>
              <c:numCache>
                <c:formatCode>#,##0</c:formatCode>
                <c:ptCount val="3"/>
                <c:pt idx="0">
                  <c:v>372100</c:v>
                </c:pt>
                <c:pt idx="1">
                  <c:v>253600</c:v>
                </c:pt>
                <c:pt idx="2">
                  <c:v>429100</c:v>
                </c:pt>
              </c:numCache>
            </c:numRef>
          </c:val>
          <c:extLst>
            <c:ext xmlns:c16="http://schemas.microsoft.com/office/drawing/2014/chart" uri="{C3380CC4-5D6E-409C-BE32-E72D297353CC}">
              <c16:uniqueId val="{00000000-5EF8-4109-8562-5F5A676A8A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dashboard.xlsx]Sales_Data!PivotTable4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Sales_Data!$AD$1</c:f>
              <c:strCache>
                <c:ptCount val="1"/>
                <c:pt idx="0">
                  <c:v>Total</c:v>
                </c:pt>
              </c:strCache>
            </c:strRef>
          </c:tx>
          <c:spPr>
            <a:solidFill>
              <a:schemeClr val="accent1"/>
            </a:solidFill>
            <a:ln>
              <a:noFill/>
            </a:ln>
            <a:effectLst/>
          </c:spPr>
          <c:invertIfNegative val="0"/>
          <c:cat>
            <c:strRef>
              <c:f>Sales_Data!$AC$2:$AC$6</c:f>
              <c:strCache>
                <c:ptCount val="4"/>
                <c:pt idx="0">
                  <c:v>East</c:v>
                </c:pt>
                <c:pt idx="1">
                  <c:v>North</c:v>
                </c:pt>
                <c:pt idx="2">
                  <c:v>South</c:v>
                </c:pt>
                <c:pt idx="3">
                  <c:v>West</c:v>
                </c:pt>
              </c:strCache>
            </c:strRef>
          </c:cat>
          <c:val>
            <c:numRef>
              <c:f>Sales_Data!$AD$2:$AD$6</c:f>
              <c:numCache>
                <c:formatCode>#,##0</c:formatCode>
                <c:ptCount val="4"/>
                <c:pt idx="0">
                  <c:v>254200</c:v>
                </c:pt>
                <c:pt idx="1">
                  <c:v>332500</c:v>
                </c:pt>
                <c:pt idx="2">
                  <c:v>267300</c:v>
                </c:pt>
                <c:pt idx="3">
                  <c:v>200800</c:v>
                </c:pt>
              </c:numCache>
            </c:numRef>
          </c:val>
          <c:extLst>
            <c:ext xmlns:c16="http://schemas.microsoft.com/office/drawing/2014/chart" uri="{C3380CC4-5D6E-409C-BE32-E72D297353CC}">
              <c16:uniqueId val="{00000000-6A1D-418B-8C4A-C454FE56DB44}"/>
            </c:ext>
          </c:extLst>
        </c:ser>
        <c:dLbls>
          <c:showLegendKey val="0"/>
          <c:showVal val="0"/>
          <c:showCatName val="0"/>
          <c:showSerName val="0"/>
          <c:showPercent val="0"/>
          <c:showBubbleSize val="0"/>
        </c:dLbls>
        <c:gapWidth val="219"/>
        <c:overlap val="-27"/>
        <c:axId val="1651547055"/>
        <c:axId val="1651547535"/>
      </c:barChart>
      <c:catAx>
        <c:axId val="165154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547535"/>
        <c:crosses val="autoZero"/>
        <c:auto val="1"/>
        <c:lblAlgn val="ctr"/>
        <c:lblOffset val="100"/>
        <c:noMultiLvlLbl val="0"/>
      </c:catAx>
      <c:valAx>
        <c:axId val="1651547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54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dashboard.xlsx]Sales_Data!PivotTable5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Sales_Data!$AI$1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Sales_Data!$AH$2:$AH$8</c:f>
              <c:strCache>
                <c:ptCount val="6"/>
                <c:pt idx="0">
                  <c:v>January</c:v>
                </c:pt>
                <c:pt idx="1">
                  <c:v>February</c:v>
                </c:pt>
                <c:pt idx="2">
                  <c:v>March</c:v>
                </c:pt>
                <c:pt idx="3">
                  <c:v>April</c:v>
                </c:pt>
                <c:pt idx="4">
                  <c:v>May</c:v>
                </c:pt>
                <c:pt idx="5">
                  <c:v>June</c:v>
                </c:pt>
              </c:strCache>
            </c:strRef>
          </c:cat>
          <c:val>
            <c:numRef>
              <c:f>Sales_Data!$AI$2:$AI$8</c:f>
              <c:numCache>
                <c:formatCode>General</c:formatCode>
                <c:ptCount val="6"/>
                <c:pt idx="0">
                  <c:v>23</c:v>
                </c:pt>
                <c:pt idx="1">
                  <c:v>34</c:v>
                </c:pt>
                <c:pt idx="2">
                  <c:v>41</c:v>
                </c:pt>
                <c:pt idx="3">
                  <c:v>31</c:v>
                </c:pt>
                <c:pt idx="4">
                  <c:v>39</c:v>
                </c:pt>
                <c:pt idx="5">
                  <c:v>32</c:v>
                </c:pt>
              </c:numCache>
            </c:numRef>
          </c:val>
          <c:smooth val="0"/>
          <c:extLst>
            <c:ext xmlns:c16="http://schemas.microsoft.com/office/drawing/2014/chart" uri="{C3380CC4-5D6E-409C-BE32-E72D297353CC}">
              <c16:uniqueId val="{00000000-2B6F-4ABA-9C8B-957DCAE31746}"/>
            </c:ext>
          </c:extLst>
        </c:ser>
        <c:dLbls>
          <c:showLegendKey val="0"/>
          <c:showVal val="0"/>
          <c:showCatName val="0"/>
          <c:showSerName val="0"/>
          <c:showPercent val="0"/>
          <c:showBubbleSize val="0"/>
        </c:dLbls>
        <c:marker val="1"/>
        <c:smooth val="0"/>
        <c:axId val="1593497839"/>
        <c:axId val="1593488719"/>
      </c:lineChart>
      <c:catAx>
        <c:axId val="15934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88719"/>
        <c:crosses val="autoZero"/>
        <c:auto val="1"/>
        <c:lblAlgn val="ctr"/>
        <c:lblOffset val="100"/>
        <c:noMultiLvlLbl val="0"/>
      </c:catAx>
      <c:valAx>
        <c:axId val="159348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dashboard.xlsx]Sales_Data!PivotTable1</c:name>
    <c:fmtId val="3"/>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a:t>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IN"/>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Sales_Data!$N$1</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Sales_Data!$M$2:$M$8</c:f>
              <c:strCache>
                <c:ptCount val="6"/>
                <c:pt idx="0">
                  <c:v>January</c:v>
                </c:pt>
                <c:pt idx="1">
                  <c:v>February</c:v>
                </c:pt>
                <c:pt idx="2">
                  <c:v>March</c:v>
                </c:pt>
                <c:pt idx="3">
                  <c:v>April</c:v>
                </c:pt>
                <c:pt idx="4">
                  <c:v>May</c:v>
                </c:pt>
                <c:pt idx="5">
                  <c:v>June</c:v>
                </c:pt>
              </c:strCache>
            </c:strRef>
          </c:cat>
          <c:val>
            <c:numRef>
              <c:f>Sales_Data!$N$2:$N$8</c:f>
              <c:numCache>
                <c:formatCode>General</c:formatCode>
                <c:ptCount val="6"/>
                <c:pt idx="0">
                  <c:v>122400</c:v>
                </c:pt>
                <c:pt idx="1">
                  <c:v>199800</c:v>
                </c:pt>
                <c:pt idx="2">
                  <c:v>210500</c:v>
                </c:pt>
                <c:pt idx="3">
                  <c:v>149800</c:v>
                </c:pt>
                <c:pt idx="4">
                  <c:v>198900</c:v>
                </c:pt>
                <c:pt idx="5">
                  <c:v>173400</c:v>
                </c:pt>
              </c:numCache>
            </c:numRef>
          </c:val>
          <c:smooth val="0"/>
          <c:extLst>
            <c:ext xmlns:c16="http://schemas.microsoft.com/office/drawing/2014/chart" uri="{C3380CC4-5D6E-409C-BE32-E72D297353CC}">
              <c16:uniqueId val="{00000000-B5C8-4F3F-A5CD-2338AFED8ED4}"/>
            </c:ext>
          </c:extLst>
        </c:ser>
        <c:dLbls>
          <c:showLegendKey val="0"/>
          <c:showVal val="0"/>
          <c:showCatName val="0"/>
          <c:showSerName val="0"/>
          <c:showPercent val="0"/>
          <c:showBubbleSize val="0"/>
        </c:dLbls>
        <c:marker val="1"/>
        <c:smooth val="0"/>
        <c:axId val="1590721263"/>
        <c:axId val="1601158447"/>
      </c:lineChart>
      <c:catAx>
        <c:axId val="159072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601158447"/>
        <c:crosses val="autoZero"/>
        <c:auto val="1"/>
        <c:lblAlgn val="ctr"/>
        <c:lblOffset val="100"/>
        <c:noMultiLvlLbl val="0"/>
      </c:catAx>
      <c:valAx>
        <c:axId val="160115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59072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0"/>
      </a:schemeClr>
    </a:solidFill>
    <a:ln w="9525" cap="flat" cmpd="sng" algn="ctr">
      <a:noFill/>
      <a:round/>
    </a:ln>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dashboard.xlsx]Sales_Data!PivotTable2</c:name>
    <c:fmtId val="4"/>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a:t>Top Selling Products</a:t>
            </a:r>
          </a:p>
        </c:rich>
      </c:tx>
      <c:layout>
        <c:manualLayout>
          <c:xMode val="edge"/>
          <c:yMode val="edge"/>
          <c:x val="0.2874846899525381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Sales_Data!$T$1</c:f>
              <c:strCache>
                <c:ptCount val="1"/>
                <c:pt idx="0">
                  <c:v>Total</c:v>
                </c:pt>
              </c:strCache>
            </c:strRef>
          </c:tx>
          <c:spPr>
            <a:solidFill>
              <a:schemeClr val="accent5"/>
            </a:solidFill>
            <a:ln>
              <a:noFill/>
            </a:ln>
            <a:effectLst/>
          </c:spPr>
          <c:invertIfNegative val="0"/>
          <c:cat>
            <c:strRef>
              <c:f>Sales_Data!$S$2:$S$17</c:f>
              <c:strCache>
                <c:ptCount val="15"/>
                <c:pt idx="0">
                  <c:v>Bottle</c:v>
                </c:pt>
                <c:pt idx="1">
                  <c:v>Chair</c:v>
                </c:pt>
                <c:pt idx="2">
                  <c:v>Earbuds</c:v>
                </c:pt>
                <c:pt idx="3">
                  <c:v>Jacket</c:v>
                </c:pt>
                <c:pt idx="4">
                  <c:v>Jeans</c:v>
                </c:pt>
                <c:pt idx="5">
                  <c:v>Keyboard</c:v>
                </c:pt>
                <c:pt idx="6">
                  <c:v>Kurti</c:v>
                </c:pt>
                <c:pt idx="7">
                  <c:v>Lamp</c:v>
                </c:pt>
                <c:pt idx="8">
                  <c:v>Laptop Bag</c:v>
                </c:pt>
                <c:pt idx="9">
                  <c:v>Mixer</c:v>
                </c:pt>
                <c:pt idx="10">
                  <c:v>Mouse</c:v>
                </c:pt>
                <c:pt idx="11">
                  <c:v>Shoes</c:v>
                </c:pt>
                <c:pt idx="12">
                  <c:v>Smart Watch</c:v>
                </c:pt>
                <c:pt idx="13">
                  <c:v>Table</c:v>
                </c:pt>
                <c:pt idx="14">
                  <c:v>T-Shirt</c:v>
                </c:pt>
              </c:strCache>
            </c:strRef>
          </c:cat>
          <c:val>
            <c:numRef>
              <c:f>Sales_Data!$T$2:$T$17</c:f>
              <c:numCache>
                <c:formatCode>#,##0.00</c:formatCode>
                <c:ptCount val="15"/>
                <c:pt idx="0">
                  <c:v>12000</c:v>
                </c:pt>
                <c:pt idx="1">
                  <c:v>102000</c:v>
                </c:pt>
                <c:pt idx="2">
                  <c:v>33600</c:v>
                </c:pt>
                <c:pt idx="3">
                  <c:v>87500</c:v>
                </c:pt>
                <c:pt idx="4">
                  <c:v>37200</c:v>
                </c:pt>
                <c:pt idx="5">
                  <c:v>43200</c:v>
                </c:pt>
                <c:pt idx="6">
                  <c:v>27900</c:v>
                </c:pt>
                <c:pt idx="7">
                  <c:v>31500</c:v>
                </c:pt>
                <c:pt idx="8">
                  <c:v>34500</c:v>
                </c:pt>
                <c:pt idx="9">
                  <c:v>94600</c:v>
                </c:pt>
                <c:pt idx="10">
                  <c:v>22800</c:v>
                </c:pt>
                <c:pt idx="11">
                  <c:v>81000</c:v>
                </c:pt>
                <c:pt idx="12">
                  <c:v>238000</c:v>
                </c:pt>
                <c:pt idx="13">
                  <c:v>189000</c:v>
                </c:pt>
                <c:pt idx="14">
                  <c:v>20000</c:v>
                </c:pt>
              </c:numCache>
            </c:numRef>
          </c:val>
          <c:extLst>
            <c:ext xmlns:c16="http://schemas.microsoft.com/office/drawing/2014/chart" uri="{C3380CC4-5D6E-409C-BE32-E72D297353CC}">
              <c16:uniqueId val="{00000000-F7B8-418F-8BCF-963CEAAE5D55}"/>
            </c:ext>
          </c:extLst>
        </c:ser>
        <c:dLbls>
          <c:showLegendKey val="0"/>
          <c:showVal val="0"/>
          <c:showCatName val="0"/>
          <c:showSerName val="0"/>
          <c:showPercent val="0"/>
          <c:showBubbleSize val="0"/>
        </c:dLbls>
        <c:gapWidth val="182"/>
        <c:axId val="1660390815"/>
        <c:axId val="1660388895"/>
      </c:barChart>
      <c:catAx>
        <c:axId val="166039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660388895"/>
        <c:crosses val="autoZero"/>
        <c:auto val="1"/>
        <c:lblAlgn val="ctr"/>
        <c:lblOffset val="100"/>
        <c:noMultiLvlLbl val="0"/>
      </c:catAx>
      <c:valAx>
        <c:axId val="166038889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66039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dashboard.xlsx]Sales_Data!PivotTable3</c:name>
    <c:fmtId val="6"/>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65000"/>
            </a:schemeClr>
          </a:solidFill>
          <a:ln w="19050">
            <a:solidFill>
              <a:schemeClr val="lt1"/>
            </a:solidFill>
          </a:ln>
          <a:effectLst/>
        </c:spPr>
      </c:pivotFmt>
    </c:pivotFmts>
    <c:plotArea>
      <c:layout/>
      <c:pieChart>
        <c:varyColors val="1"/>
        <c:ser>
          <c:idx val="0"/>
          <c:order val="0"/>
          <c:tx>
            <c:strRef>
              <c:f>Sales_Data!$Y$1</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1ED1-425E-97F6-7E54872C947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ED1-425E-97F6-7E54872C947A}"/>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1ED1-425E-97F6-7E54872C947A}"/>
              </c:ext>
            </c:extLst>
          </c:dPt>
          <c:cat>
            <c:strRef>
              <c:f>Sales_Data!$X$2:$X$5</c:f>
              <c:strCache>
                <c:ptCount val="3"/>
                <c:pt idx="0">
                  <c:v>Electronics</c:v>
                </c:pt>
                <c:pt idx="1">
                  <c:v>Fashion</c:v>
                </c:pt>
                <c:pt idx="2">
                  <c:v>Home</c:v>
                </c:pt>
              </c:strCache>
            </c:strRef>
          </c:cat>
          <c:val>
            <c:numRef>
              <c:f>Sales_Data!$Y$2:$Y$5</c:f>
              <c:numCache>
                <c:formatCode>#,##0</c:formatCode>
                <c:ptCount val="3"/>
                <c:pt idx="0">
                  <c:v>372100</c:v>
                </c:pt>
                <c:pt idx="1">
                  <c:v>253600</c:v>
                </c:pt>
                <c:pt idx="2">
                  <c:v>429100</c:v>
                </c:pt>
              </c:numCache>
            </c:numRef>
          </c:val>
          <c:extLst>
            <c:ext xmlns:c16="http://schemas.microsoft.com/office/drawing/2014/chart" uri="{C3380CC4-5D6E-409C-BE32-E72D297353CC}">
              <c16:uniqueId val="{00000006-1ED1-425E-97F6-7E54872C94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0"/>
      </a:schemeClr>
    </a:solidFill>
    <a:ln w="9525" cap="flat" cmpd="sng" algn="ctr">
      <a:noFill/>
      <a:round/>
    </a:ln>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dashboard.xlsx]Sales_Data!PivotTable4</c:name>
    <c:fmtId val="3"/>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Sales_Data!$AD$1</c:f>
              <c:strCache>
                <c:ptCount val="1"/>
                <c:pt idx="0">
                  <c:v>Total</c:v>
                </c:pt>
              </c:strCache>
            </c:strRef>
          </c:tx>
          <c:spPr>
            <a:solidFill>
              <a:schemeClr val="accent5"/>
            </a:solidFill>
            <a:ln>
              <a:noFill/>
            </a:ln>
            <a:effectLst/>
          </c:spPr>
          <c:invertIfNegative val="0"/>
          <c:cat>
            <c:strRef>
              <c:f>Sales_Data!$AC$2:$AC$6</c:f>
              <c:strCache>
                <c:ptCount val="4"/>
                <c:pt idx="0">
                  <c:v>East</c:v>
                </c:pt>
                <c:pt idx="1">
                  <c:v>North</c:v>
                </c:pt>
                <c:pt idx="2">
                  <c:v>South</c:v>
                </c:pt>
                <c:pt idx="3">
                  <c:v>West</c:v>
                </c:pt>
              </c:strCache>
            </c:strRef>
          </c:cat>
          <c:val>
            <c:numRef>
              <c:f>Sales_Data!$AD$2:$AD$6</c:f>
              <c:numCache>
                <c:formatCode>#,##0</c:formatCode>
                <c:ptCount val="4"/>
                <c:pt idx="0">
                  <c:v>254200</c:v>
                </c:pt>
                <c:pt idx="1">
                  <c:v>332500</c:v>
                </c:pt>
                <c:pt idx="2">
                  <c:v>267300</c:v>
                </c:pt>
                <c:pt idx="3">
                  <c:v>200800</c:v>
                </c:pt>
              </c:numCache>
            </c:numRef>
          </c:val>
          <c:extLst>
            <c:ext xmlns:c16="http://schemas.microsoft.com/office/drawing/2014/chart" uri="{C3380CC4-5D6E-409C-BE32-E72D297353CC}">
              <c16:uniqueId val="{00000000-9D34-4EB9-B6AA-DB7785F0D43B}"/>
            </c:ext>
          </c:extLst>
        </c:ser>
        <c:dLbls>
          <c:showLegendKey val="0"/>
          <c:showVal val="0"/>
          <c:showCatName val="0"/>
          <c:showSerName val="0"/>
          <c:showPercent val="0"/>
          <c:showBubbleSize val="0"/>
        </c:dLbls>
        <c:gapWidth val="219"/>
        <c:overlap val="-27"/>
        <c:axId val="1651547055"/>
        <c:axId val="1651547535"/>
      </c:barChart>
      <c:catAx>
        <c:axId val="165154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651547535"/>
        <c:crosses val="autoZero"/>
        <c:auto val="1"/>
        <c:lblAlgn val="ctr"/>
        <c:lblOffset val="100"/>
        <c:noMultiLvlLbl val="0"/>
      </c:catAx>
      <c:valAx>
        <c:axId val="16515475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65154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0"/>
      </a:schemeClr>
    </a:solidFill>
    <a:ln w="9525" cap="flat" cmpd="sng" algn="ctr">
      <a:noFill/>
      <a:round/>
    </a:ln>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dashboard.xlsx]Sales_Data!PivotTable5</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Orders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rgbClr val="4BAC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Sales_Data!$AI$1</c:f>
              <c:strCache>
                <c:ptCount val="1"/>
                <c:pt idx="0">
                  <c:v>Total</c:v>
                </c:pt>
              </c:strCache>
            </c:strRef>
          </c:tx>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s>
            <c:spPr>
              <a:solidFill>
                <a:srgbClr val="4BACC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Sales_Data!$AH$2:$AH$8</c:f>
              <c:strCache>
                <c:ptCount val="6"/>
                <c:pt idx="0">
                  <c:v>January</c:v>
                </c:pt>
                <c:pt idx="1">
                  <c:v>February</c:v>
                </c:pt>
                <c:pt idx="2">
                  <c:v>March</c:v>
                </c:pt>
                <c:pt idx="3">
                  <c:v>April</c:v>
                </c:pt>
                <c:pt idx="4">
                  <c:v>May</c:v>
                </c:pt>
                <c:pt idx="5">
                  <c:v>June</c:v>
                </c:pt>
              </c:strCache>
            </c:strRef>
          </c:cat>
          <c:val>
            <c:numRef>
              <c:f>Sales_Data!$AI$2:$AI$8</c:f>
              <c:numCache>
                <c:formatCode>General</c:formatCode>
                <c:ptCount val="6"/>
                <c:pt idx="0">
                  <c:v>23</c:v>
                </c:pt>
                <c:pt idx="1">
                  <c:v>34</c:v>
                </c:pt>
                <c:pt idx="2">
                  <c:v>41</c:v>
                </c:pt>
                <c:pt idx="3">
                  <c:v>31</c:v>
                </c:pt>
                <c:pt idx="4">
                  <c:v>39</c:v>
                </c:pt>
                <c:pt idx="5">
                  <c:v>32</c:v>
                </c:pt>
              </c:numCache>
            </c:numRef>
          </c:val>
          <c:smooth val="0"/>
          <c:extLst>
            <c:ext xmlns:c16="http://schemas.microsoft.com/office/drawing/2014/chart" uri="{C3380CC4-5D6E-409C-BE32-E72D297353CC}">
              <c16:uniqueId val="{00000000-1935-4314-B19B-B8097F68D29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93497839"/>
        <c:axId val="1593488719"/>
      </c:lineChart>
      <c:catAx>
        <c:axId val="159349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93488719"/>
        <c:crosses val="autoZero"/>
        <c:auto val="1"/>
        <c:lblAlgn val="ctr"/>
        <c:lblOffset val="100"/>
        <c:noMultiLvlLbl val="0"/>
      </c:catAx>
      <c:valAx>
        <c:axId val="1593488719"/>
        <c:scaling>
          <c:orientation val="minMax"/>
        </c:scaling>
        <c:delete val="1"/>
        <c:axPos val="l"/>
        <c:numFmt formatCode="General" sourceLinked="1"/>
        <c:majorTickMark val="none"/>
        <c:minorTickMark val="none"/>
        <c:tickLblPos val="nextTo"/>
        <c:crossAx val="159349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alpha val="0"/>
      </a:schemeClr>
    </a:solid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261937</xdr:colOff>
      <xdr:row>9</xdr:row>
      <xdr:rowOff>119062</xdr:rowOff>
    </xdr:from>
    <xdr:to>
      <xdr:col>15</xdr:col>
      <xdr:colOff>200025</xdr:colOff>
      <xdr:row>19</xdr:row>
      <xdr:rowOff>100012</xdr:rowOff>
    </xdr:to>
    <xdr:graphicFrame macro="">
      <xdr:nvGraphicFramePr>
        <xdr:cNvPr id="2" name="Chart 1">
          <a:extLst>
            <a:ext uri="{FF2B5EF4-FFF2-40B4-BE49-F238E27FC236}">
              <a16:creationId xmlns:a16="http://schemas.microsoft.com/office/drawing/2014/main" id="{56BE79EF-62E0-B0BA-4407-46DBEA119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233362</xdr:colOff>
      <xdr:row>18</xdr:row>
      <xdr:rowOff>33337</xdr:rowOff>
    </xdr:from>
    <xdr:to>
      <xdr:col>20</xdr:col>
      <xdr:colOff>904875</xdr:colOff>
      <xdr:row>28</xdr:row>
      <xdr:rowOff>14287</xdr:rowOff>
    </xdr:to>
    <xdr:graphicFrame macro="">
      <xdr:nvGraphicFramePr>
        <xdr:cNvPr id="3" name="Chart 2">
          <a:extLst>
            <a:ext uri="{FF2B5EF4-FFF2-40B4-BE49-F238E27FC236}">
              <a16:creationId xmlns:a16="http://schemas.microsoft.com/office/drawing/2014/main" id="{B0CE676A-16A1-850E-4AE1-489A8D6CD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300037</xdr:colOff>
      <xdr:row>7</xdr:row>
      <xdr:rowOff>61912</xdr:rowOff>
    </xdr:from>
    <xdr:to>
      <xdr:col>25</xdr:col>
      <xdr:colOff>685800</xdr:colOff>
      <xdr:row>17</xdr:row>
      <xdr:rowOff>42862</xdr:rowOff>
    </xdr:to>
    <xdr:graphicFrame macro="">
      <xdr:nvGraphicFramePr>
        <xdr:cNvPr id="5" name="Chart 4">
          <a:extLst>
            <a:ext uri="{FF2B5EF4-FFF2-40B4-BE49-F238E27FC236}">
              <a16:creationId xmlns:a16="http://schemas.microsoft.com/office/drawing/2014/main" id="{62C67456-BACF-AE86-7087-DD6C63042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9524</xdr:colOff>
      <xdr:row>7</xdr:row>
      <xdr:rowOff>176211</xdr:rowOff>
    </xdr:from>
    <xdr:to>
      <xdr:col>30</xdr:col>
      <xdr:colOff>962024</xdr:colOff>
      <xdr:row>17</xdr:row>
      <xdr:rowOff>276224</xdr:rowOff>
    </xdr:to>
    <xdr:graphicFrame macro="">
      <xdr:nvGraphicFramePr>
        <xdr:cNvPr id="6" name="Chart 5">
          <a:extLst>
            <a:ext uri="{FF2B5EF4-FFF2-40B4-BE49-F238E27FC236}">
              <a16:creationId xmlns:a16="http://schemas.microsoft.com/office/drawing/2014/main" id="{B75113D8-51DC-299F-EB6B-3EE95101C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538162</xdr:colOff>
      <xdr:row>10</xdr:row>
      <xdr:rowOff>271462</xdr:rowOff>
    </xdr:from>
    <xdr:to>
      <xdr:col>35</xdr:col>
      <xdr:colOff>476250</xdr:colOff>
      <xdr:row>20</xdr:row>
      <xdr:rowOff>252412</xdr:rowOff>
    </xdr:to>
    <xdr:graphicFrame macro="">
      <xdr:nvGraphicFramePr>
        <xdr:cNvPr id="7" name="Chart 6">
          <a:extLst>
            <a:ext uri="{FF2B5EF4-FFF2-40B4-BE49-F238E27FC236}">
              <a16:creationId xmlns:a16="http://schemas.microsoft.com/office/drawing/2014/main" id="{3481E16D-C163-A081-0AC6-BDDFC6DC1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76200</xdr:colOff>
      <xdr:row>17</xdr:row>
      <xdr:rowOff>257175</xdr:rowOff>
    </xdr:from>
    <xdr:to>
      <xdr:col>25</xdr:col>
      <xdr:colOff>533400</xdr:colOff>
      <xdr:row>27</xdr:row>
      <xdr:rowOff>19050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D55D297-366E-1B3E-FC84-C4AA7DBD04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755350" y="495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361950</xdr:colOff>
      <xdr:row>19</xdr:row>
      <xdr:rowOff>238125</xdr:rowOff>
    </xdr:from>
    <xdr:to>
      <xdr:col>28</xdr:col>
      <xdr:colOff>266700</xdr:colOff>
      <xdr:row>29</xdr:row>
      <xdr:rowOff>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89C454F-9224-7106-7D34-EB3A521428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374725" y="548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647700</xdr:colOff>
      <xdr:row>19</xdr:row>
      <xdr:rowOff>219075</xdr:rowOff>
    </xdr:from>
    <xdr:to>
      <xdr:col>30</xdr:col>
      <xdr:colOff>228600</xdr:colOff>
      <xdr:row>28</xdr:row>
      <xdr:rowOff>257175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87BF926B-DDFA-1B09-C0F9-EB83228A1C3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584525" y="5467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13608</xdr:colOff>
      <xdr:row>0</xdr:row>
      <xdr:rowOff>0</xdr:rowOff>
    </xdr:from>
    <xdr:to>
      <xdr:col>25</xdr:col>
      <xdr:colOff>421821</xdr:colOff>
      <xdr:row>22</xdr:row>
      <xdr:rowOff>408214</xdr:rowOff>
    </xdr:to>
    <xdr:pic>
      <xdr:nvPicPr>
        <xdr:cNvPr id="3" name="Picture 2">
          <a:extLst>
            <a:ext uri="{FF2B5EF4-FFF2-40B4-BE49-F238E27FC236}">
              <a16:creationId xmlns:a16="http://schemas.microsoft.com/office/drawing/2014/main" id="{4DB49BE8-F3EB-9013-FF97-DD28AD302924}"/>
            </a:ext>
          </a:extLst>
        </xdr:cNvPr>
        <xdr:cNvPicPr>
          <a:picLocks noChangeAspect="1"/>
        </xdr:cNvPicPr>
      </xdr:nvPicPr>
      <xdr:blipFill>
        <a:blip xmlns:r="http://schemas.openxmlformats.org/officeDocument/2006/relationships" r:embed="rId1"/>
        <a:stretch>
          <a:fillRect/>
        </a:stretch>
      </xdr:blipFill>
      <xdr:spPr>
        <a:xfrm>
          <a:off x="13608" y="0"/>
          <a:ext cx="15716249" cy="968828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29</xdr:col>
      <xdr:colOff>353786</xdr:colOff>
      <xdr:row>0</xdr:row>
      <xdr:rowOff>108858</xdr:rowOff>
    </xdr:from>
    <xdr:to>
      <xdr:col>33</xdr:col>
      <xdr:colOff>408214</xdr:colOff>
      <xdr:row>2</xdr:row>
      <xdr:rowOff>122465</xdr:rowOff>
    </xdr:to>
    <xdr:sp macro="" textlink="">
      <xdr:nvSpPr>
        <xdr:cNvPr id="2" name="Rectangle: Rounded Corners 1">
          <a:extLst>
            <a:ext uri="{FF2B5EF4-FFF2-40B4-BE49-F238E27FC236}">
              <a16:creationId xmlns:a16="http://schemas.microsoft.com/office/drawing/2014/main" id="{BE1E49C8-587E-C986-7B80-5CC8CE826970}"/>
            </a:ext>
          </a:extLst>
        </xdr:cNvPr>
        <xdr:cNvSpPr/>
      </xdr:nvSpPr>
      <xdr:spPr>
        <a:xfrm>
          <a:off x="18111107" y="108858"/>
          <a:ext cx="2503714" cy="857250"/>
        </a:xfrm>
        <a:prstGeom prst="roundRect">
          <a:avLst/>
        </a:prstGeom>
        <a:noFill/>
        <a:effectLst>
          <a:outerShdw blurRad="40000" dist="20000" dir="5400000" rotWithShape="0">
            <a:schemeClr val="accent5">
              <a:alpha val="0"/>
            </a:scheme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136071</xdr:colOff>
      <xdr:row>3</xdr:row>
      <xdr:rowOff>54428</xdr:rowOff>
    </xdr:from>
    <xdr:to>
      <xdr:col>6</xdr:col>
      <xdr:colOff>285750</xdr:colOff>
      <xdr:row>6</xdr:row>
      <xdr:rowOff>367392</xdr:rowOff>
    </xdr:to>
    <xdr:sp macro="" textlink="">
      <xdr:nvSpPr>
        <xdr:cNvPr id="4" name="Rectangle: Rounded Corners 3">
          <a:extLst>
            <a:ext uri="{FF2B5EF4-FFF2-40B4-BE49-F238E27FC236}">
              <a16:creationId xmlns:a16="http://schemas.microsoft.com/office/drawing/2014/main" id="{BAFCC45E-7699-CF6A-F327-53A2C95E6EC2}"/>
            </a:ext>
          </a:extLst>
        </xdr:cNvPr>
        <xdr:cNvSpPr/>
      </xdr:nvSpPr>
      <xdr:spPr>
        <a:xfrm>
          <a:off x="1360714" y="1319892"/>
          <a:ext cx="2598965" cy="1578429"/>
        </a:xfrm>
        <a:prstGeom prst="roundRect">
          <a:avLst/>
        </a:prstGeom>
        <a:no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400">
              <a:solidFill>
                <a:schemeClr val="accent5"/>
              </a:solidFill>
              <a:effectLst>
                <a:innerShdw blurRad="63500" dist="50800" dir="13500000">
                  <a:prstClr val="black">
                    <a:alpha val="50000"/>
                  </a:prstClr>
                </a:innerShdw>
              </a:effectLst>
            </a:rPr>
            <a:t>TOTAL</a:t>
          </a:r>
          <a:r>
            <a:rPr lang="en-IN" sz="2400" baseline="0">
              <a:solidFill>
                <a:schemeClr val="accent5"/>
              </a:solidFill>
              <a:effectLst>
                <a:innerShdw blurRad="63500" dist="50800" dir="13500000">
                  <a:prstClr val="black">
                    <a:alpha val="50000"/>
                  </a:prstClr>
                </a:innerShdw>
              </a:effectLst>
            </a:rPr>
            <a:t> REVENUE</a:t>
          </a:r>
        </a:p>
        <a:p>
          <a:pPr algn="ctr"/>
          <a:r>
            <a:rPr lang="en-IN" sz="3200" u="none" baseline="0">
              <a:solidFill>
                <a:schemeClr val="accent6"/>
              </a:solidFill>
              <a:effectLst>
                <a:innerShdw blurRad="63500" dist="50800" dir="13500000">
                  <a:prstClr val="black">
                    <a:alpha val="50000"/>
                  </a:prstClr>
                </a:innerShdw>
              </a:effectLst>
            </a:rPr>
            <a:t>$</a:t>
          </a:r>
          <a:r>
            <a:rPr lang="en-IN" sz="3200" baseline="0">
              <a:solidFill>
                <a:schemeClr val="accent6"/>
              </a:solidFill>
              <a:effectLst>
                <a:innerShdw blurRad="63500" dist="50800" dir="13500000">
                  <a:prstClr val="black">
                    <a:alpha val="50000"/>
                  </a:prstClr>
                </a:innerShdw>
              </a:effectLst>
            </a:rPr>
            <a:t>10,54,800 </a:t>
          </a:r>
          <a:endParaRPr lang="en-IN" sz="3200">
            <a:solidFill>
              <a:schemeClr val="accent6"/>
            </a:solidFill>
            <a:effectLst>
              <a:innerShdw blurRad="63500" dist="50800" dir="13500000">
                <a:prstClr val="black">
                  <a:alpha val="50000"/>
                </a:prstClr>
              </a:innerShdw>
            </a:effectLst>
          </a:endParaRPr>
        </a:p>
      </xdr:txBody>
    </xdr:sp>
    <xdr:clientData/>
  </xdr:twoCellAnchor>
  <xdr:twoCellAnchor>
    <xdr:from>
      <xdr:col>19</xdr:col>
      <xdr:colOff>258535</xdr:colOff>
      <xdr:row>3</xdr:row>
      <xdr:rowOff>136072</xdr:rowOff>
    </xdr:from>
    <xdr:to>
      <xdr:col>23</xdr:col>
      <xdr:colOff>503464</xdr:colOff>
      <xdr:row>6</xdr:row>
      <xdr:rowOff>394607</xdr:rowOff>
    </xdr:to>
    <xdr:sp macro="" textlink="">
      <xdr:nvSpPr>
        <xdr:cNvPr id="5" name="Rectangle: Rounded Corners 4">
          <a:extLst>
            <a:ext uri="{FF2B5EF4-FFF2-40B4-BE49-F238E27FC236}">
              <a16:creationId xmlns:a16="http://schemas.microsoft.com/office/drawing/2014/main" id="{E9D6D3C3-2D4C-44D6-A558-6BD93221EB3D}"/>
            </a:ext>
          </a:extLst>
        </xdr:cNvPr>
        <xdr:cNvSpPr/>
      </xdr:nvSpPr>
      <xdr:spPr>
        <a:xfrm>
          <a:off x="11892642" y="1401536"/>
          <a:ext cx="2694215" cy="1524000"/>
        </a:xfrm>
        <a:prstGeom prst="roundRect">
          <a:avLst/>
        </a:prstGeom>
        <a:no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400">
              <a:ln>
                <a:noFill/>
              </a:ln>
              <a:solidFill>
                <a:schemeClr val="accent5"/>
              </a:solidFill>
              <a:latin typeface="+mn-lt"/>
              <a:cs typeface="Times New Roman" panose="02020603050405020304" pitchFamily="18" charset="0"/>
            </a:rPr>
            <a:t>QUANTITY</a:t>
          </a:r>
          <a:r>
            <a:rPr lang="en-IN" sz="2400" baseline="0">
              <a:ln>
                <a:noFill/>
              </a:ln>
              <a:solidFill>
                <a:schemeClr val="accent5"/>
              </a:solidFill>
              <a:latin typeface="+mn-lt"/>
              <a:cs typeface="Times New Roman" panose="02020603050405020304" pitchFamily="18" charset="0"/>
            </a:rPr>
            <a:t> SOLD</a:t>
          </a:r>
        </a:p>
        <a:p>
          <a:pPr algn="ctr"/>
          <a:r>
            <a:rPr lang="en-IN" sz="3200" baseline="0">
              <a:ln>
                <a:noFill/>
              </a:ln>
              <a:solidFill>
                <a:schemeClr val="accent6"/>
              </a:solidFill>
              <a:latin typeface="+mn-lt"/>
              <a:cs typeface="Times New Roman" panose="02020603050405020304" pitchFamily="18" charset="0"/>
            </a:rPr>
            <a:t>597</a:t>
          </a:r>
          <a:endParaRPr lang="en-IN" sz="3200">
            <a:ln>
              <a:noFill/>
            </a:ln>
            <a:solidFill>
              <a:schemeClr val="accent6"/>
            </a:solidFill>
            <a:latin typeface="+mn-lt"/>
            <a:cs typeface="Times New Roman" panose="02020603050405020304" pitchFamily="18" charset="0"/>
          </a:endParaRPr>
        </a:p>
      </xdr:txBody>
    </xdr:sp>
    <xdr:clientData/>
  </xdr:twoCellAnchor>
  <xdr:twoCellAnchor>
    <xdr:from>
      <xdr:col>13</xdr:col>
      <xdr:colOff>176893</xdr:colOff>
      <xdr:row>3</xdr:row>
      <xdr:rowOff>84364</xdr:rowOff>
    </xdr:from>
    <xdr:to>
      <xdr:col>18</xdr:col>
      <xdr:colOff>462644</xdr:colOff>
      <xdr:row>6</xdr:row>
      <xdr:rowOff>342899</xdr:rowOff>
    </xdr:to>
    <xdr:sp macro="" textlink="">
      <xdr:nvSpPr>
        <xdr:cNvPr id="6" name="Rectangle: Rounded Corners 5">
          <a:extLst>
            <a:ext uri="{FF2B5EF4-FFF2-40B4-BE49-F238E27FC236}">
              <a16:creationId xmlns:a16="http://schemas.microsoft.com/office/drawing/2014/main" id="{6B86FB24-0700-4FBD-9965-4AACA5350DDD}"/>
            </a:ext>
          </a:extLst>
        </xdr:cNvPr>
        <xdr:cNvSpPr/>
      </xdr:nvSpPr>
      <xdr:spPr>
        <a:xfrm>
          <a:off x="8137072" y="1349828"/>
          <a:ext cx="3347358" cy="1524000"/>
        </a:xfrm>
        <a:prstGeom prst="roundRect">
          <a:avLst/>
        </a:prstGeom>
        <a:noFill/>
        <a:ln>
          <a:solidFill>
            <a:schemeClr val="accent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400" b="0">
              <a:solidFill>
                <a:schemeClr val="accent5"/>
              </a:solidFill>
            </a:rPr>
            <a:t>AVERAGE ORDER VALUE</a:t>
          </a:r>
        </a:p>
        <a:p>
          <a:pPr algn="ctr"/>
          <a:r>
            <a:rPr lang="en-IN" sz="3200" b="0">
              <a:solidFill>
                <a:schemeClr val="accent6"/>
              </a:solidFill>
            </a:rPr>
            <a:t>$5,274</a:t>
          </a:r>
        </a:p>
      </xdr:txBody>
    </xdr:sp>
    <xdr:clientData/>
  </xdr:twoCellAnchor>
  <xdr:twoCellAnchor>
    <xdr:from>
      <xdr:col>7</xdr:col>
      <xdr:colOff>530680</xdr:colOff>
      <xdr:row>3</xdr:row>
      <xdr:rowOff>100693</xdr:rowOff>
    </xdr:from>
    <xdr:to>
      <xdr:col>12</xdr:col>
      <xdr:colOff>244929</xdr:colOff>
      <xdr:row>6</xdr:row>
      <xdr:rowOff>359228</xdr:rowOff>
    </xdr:to>
    <xdr:sp macro="" textlink="">
      <xdr:nvSpPr>
        <xdr:cNvPr id="7" name="Rectangle: Rounded Corners 6">
          <a:extLst>
            <a:ext uri="{FF2B5EF4-FFF2-40B4-BE49-F238E27FC236}">
              <a16:creationId xmlns:a16="http://schemas.microsoft.com/office/drawing/2014/main" id="{61066E79-A7D3-42A7-BB31-5FFD3F9B9A50}"/>
            </a:ext>
          </a:extLst>
        </xdr:cNvPr>
        <xdr:cNvSpPr/>
      </xdr:nvSpPr>
      <xdr:spPr>
        <a:xfrm>
          <a:off x="4816930" y="1366157"/>
          <a:ext cx="2775856" cy="1524000"/>
        </a:xfrm>
        <a:prstGeom prst="roundRect">
          <a:avLst/>
        </a:prstGeom>
        <a:no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400">
              <a:solidFill>
                <a:schemeClr val="accent5"/>
              </a:solidFill>
            </a:rPr>
            <a:t>TOTAL</a:t>
          </a:r>
          <a:r>
            <a:rPr lang="en-IN" sz="2400" baseline="0">
              <a:solidFill>
                <a:schemeClr val="accent5"/>
              </a:solidFill>
            </a:rPr>
            <a:t> ORDER</a:t>
          </a:r>
        </a:p>
        <a:p>
          <a:pPr algn="ctr"/>
          <a:r>
            <a:rPr lang="en-IN" sz="3200">
              <a:solidFill>
                <a:schemeClr val="accent6"/>
              </a:solidFill>
            </a:rPr>
            <a:t>200</a:t>
          </a:r>
        </a:p>
      </xdr:txBody>
    </xdr:sp>
    <xdr:clientData/>
  </xdr:twoCellAnchor>
  <xdr:twoCellAnchor>
    <xdr:from>
      <xdr:col>0</xdr:col>
      <xdr:colOff>544287</xdr:colOff>
      <xdr:row>7</xdr:row>
      <xdr:rowOff>81643</xdr:rowOff>
    </xdr:from>
    <xdr:to>
      <xdr:col>7</xdr:col>
      <xdr:colOff>368075</xdr:colOff>
      <xdr:row>13</xdr:row>
      <xdr:rowOff>293914</xdr:rowOff>
    </xdr:to>
    <xdr:graphicFrame macro="">
      <xdr:nvGraphicFramePr>
        <xdr:cNvPr id="8" name="Chart 7">
          <a:extLst>
            <a:ext uri="{FF2B5EF4-FFF2-40B4-BE49-F238E27FC236}">
              <a16:creationId xmlns:a16="http://schemas.microsoft.com/office/drawing/2014/main" id="{143101D5-F659-4491-BB0C-11F3A6DD8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27215</xdr:colOff>
      <xdr:row>7</xdr:row>
      <xdr:rowOff>81644</xdr:rowOff>
    </xdr:from>
    <xdr:to>
      <xdr:col>14</xdr:col>
      <xdr:colOff>316367</xdr:colOff>
      <xdr:row>13</xdr:row>
      <xdr:rowOff>293915</xdr:rowOff>
    </xdr:to>
    <xdr:graphicFrame macro="">
      <xdr:nvGraphicFramePr>
        <xdr:cNvPr id="11" name="Chart 10">
          <a:extLst>
            <a:ext uri="{FF2B5EF4-FFF2-40B4-BE49-F238E27FC236}">
              <a16:creationId xmlns:a16="http://schemas.microsoft.com/office/drawing/2014/main" id="{6B53C4FF-E545-46D2-AA1F-80BB56EFE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27216</xdr:colOff>
      <xdr:row>7</xdr:row>
      <xdr:rowOff>122465</xdr:rowOff>
    </xdr:from>
    <xdr:to>
      <xdr:col>20</xdr:col>
      <xdr:colOff>561296</xdr:colOff>
      <xdr:row>13</xdr:row>
      <xdr:rowOff>334736</xdr:rowOff>
    </xdr:to>
    <xdr:graphicFrame macro="">
      <xdr:nvGraphicFramePr>
        <xdr:cNvPr id="12" name="Chart 11">
          <a:extLst>
            <a:ext uri="{FF2B5EF4-FFF2-40B4-BE49-F238E27FC236}">
              <a16:creationId xmlns:a16="http://schemas.microsoft.com/office/drawing/2014/main" id="{44E932B0-4D34-43B0-8AD4-EDC1AA5C0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571501</xdr:colOff>
      <xdr:row>14</xdr:row>
      <xdr:rowOff>285751</xdr:rowOff>
    </xdr:from>
    <xdr:to>
      <xdr:col>10</xdr:col>
      <xdr:colOff>217715</xdr:colOff>
      <xdr:row>21</xdr:row>
      <xdr:rowOff>195264</xdr:rowOff>
    </xdr:to>
    <xdr:graphicFrame macro="">
      <xdr:nvGraphicFramePr>
        <xdr:cNvPr id="13" name="Chart 12">
          <a:extLst>
            <a:ext uri="{FF2B5EF4-FFF2-40B4-BE49-F238E27FC236}">
              <a16:creationId xmlns:a16="http://schemas.microsoft.com/office/drawing/2014/main" id="{02BE4F4C-C715-4DD0-A13E-F7084C3BF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258535</xdr:colOff>
      <xdr:row>14</xdr:row>
      <xdr:rowOff>258536</xdr:rowOff>
    </xdr:from>
    <xdr:to>
      <xdr:col>20</xdr:col>
      <xdr:colOff>557891</xdr:colOff>
      <xdr:row>21</xdr:row>
      <xdr:rowOff>185058</xdr:rowOff>
    </xdr:to>
    <xdr:graphicFrame macro="">
      <xdr:nvGraphicFramePr>
        <xdr:cNvPr id="14" name="Chart 13">
          <a:extLst>
            <a:ext uri="{FF2B5EF4-FFF2-40B4-BE49-F238E27FC236}">
              <a16:creationId xmlns:a16="http://schemas.microsoft.com/office/drawing/2014/main" id="{3A4A9024-C499-411C-8748-188454ECD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244929</xdr:colOff>
      <xdr:row>7</xdr:row>
      <xdr:rowOff>217715</xdr:rowOff>
    </xdr:from>
    <xdr:to>
      <xdr:col>25</xdr:col>
      <xdr:colOff>19093</xdr:colOff>
      <xdr:row>11</xdr:row>
      <xdr:rowOff>136071</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C6E401A8-DF4D-4E0F-A5DD-5B930D94C3B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103679" y="3170465"/>
              <a:ext cx="2223450" cy="1605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244930</xdr:colOff>
      <xdr:row>11</xdr:row>
      <xdr:rowOff>367394</xdr:rowOff>
    </xdr:from>
    <xdr:to>
      <xdr:col>25</xdr:col>
      <xdr:colOff>19094</xdr:colOff>
      <xdr:row>15</xdr:row>
      <xdr:rowOff>231323</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9301D26A-E202-49AD-AB84-C339B5F5DC4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103680" y="5007430"/>
              <a:ext cx="2223450" cy="1551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285751</xdr:colOff>
      <xdr:row>16</xdr:row>
      <xdr:rowOff>122466</xdr:rowOff>
    </xdr:from>
    <xdr:to>
      <xdr:col>25</xdr:col>
      <xdr:colOff>17465</xdr:colOff>
      <xdr:row>21</xdr:row>
      <xdr:rowOff>122465</xdr:rowOff>
    </xdr:to>
    <mc:AlternateContent xmlns:mc="http://schemas.openxmlformats.org/markup-compatibility/2006" xmlns:a14="http://schemas.microsoft.com/office/drawing/2010/main">
      <mc:Choice Requires="a14">
        <xdr:graphicFrame macro="">
          <xdr:nvGraphicFramePr>
            <xdr:cNvPr id="17" name="Month 1">
              <a:extLst>
                <a:ext uri="{FF2B5EF4-FFF2-40B4-BE49-F238E27FC236}">
                  <a16:creationId xmlns:a16="http://schemas.microsoft.com/office/drawing/2014/main" id="{804E35EE-6EB5-4D40-B40F-C5F0624E513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144501" y="6871609"/>
              <a:ext cx="2181000" cy="2109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285750</xdr:colOff>
      <xdr:row>0</xdr:row>
      <xdr:rowOff>217715</xdr:rowOff>
    </xdr:from>
    <xdr:to>
      <xdr:col>19</xdr:col>
      <xdr:colOff>217713</xdr:colOff>
      <xdr:row>2</xdr:row>
      <xdr:rowOff>326571</xdr:rowOff>
    </xdr:to>
    <xdr:sp macro="" textlink="">
      <xdr:nvSpPr>
        <xdr:cNvPr id="20" name="Rectangle: Rounded Corners 19">
          <a:extLst>
            <a:ext uri="{FF2B5EF4-FFF2-40B4-BE49-F238E27FC236}">
              <a16:creationId xmlns:a16="http://schemas.microsoft.com/office/drawing/2014/main" id="{2A81DDCD-6664-7677-6B3F-360C54AAE865}"/>
            </a:ext>
          </a:extLst>
        </xdr:cNvPr>
        <xdr:cNvSpPr/>
      </xdr:nvSpPr>
      <xdr:spPr>
        <a:xfrm>
          <a:off x="3959679" y="217715"/>
          <a:ext cx="7892141" cy="952499"/>
        </a:xfrm>
        <a:prstGeom prst="round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40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SALES</a:t>
          </a:r>
          <a:r>
            <a:rPr lang="en-IN" sz="40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DASHBOARD</a:t>
          </a:r>
          <a:endParaRPr lang="en-IN" sz="40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4021" refreshedDate="46182.616142361112" createdVersion="8" refreshedVersion="8" minRefreshableVersion="3" recordCount="200" xr:uid="{0BA2A186-51F6-4F27-9745-E83B56A4E2E1}">
  <cacheSource type="worksheet">
    <worksheetSource ref="A1:J201" sheet="Sales_Data"/>
  </cacheSource>
  <cacheFields count="10">
    <cacheField name="Order_ID" numFmtId="0">
      <sharedItems/>
    </cacheField>
    <cacheField name="Order_Date" numFmtId="0">
      <sharedItems/>
    </cacheField>
    <cacheField name="Customer_Name" numFmtId="0">
      <sharedItems/>
    </cacheField>
    <cacheField name="Region" numFmtId="0">
      <sharedItems count="4">
        <s v="East"/>
        <s v="North"/>
        <s v="West"/>
        <s v="South"/>
      </sharedItems>
    </cacheField>
    <cacheField name="Category" numFmtId="0">
      <sharedItems count="3">
        <s v="Fashion"/>
        <s v="Electronics"/>
        <s v="Home"/>
      </sharedItems>
    </cacheField>
    <cacheField name="Product" numFmtId="0">
      <sharedItems count="15">
        <s v="Jeans"/>
        <s v="Smart Watch"/>
        <s v="Bottle"/>
        <s v="Jacket"/>
        <s v="Mouse"/>
        <s v="Chair"/>
        <s v="Shoes"/>
        <s v="T-Shirt"/>
        <s v="Keyboard"/>
        <s v="Mixer"/>
        <s v="Kurti"/>
        <s v="Laptop Bag"/>
        <s v="Lamp"/>
        <s v="Table"/>
        <s v="Earbud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300" maxValue="4500"/>
    </cacheField>
    <cacheField name="Sales_Amount" numFmtId="0">
      <sharedItems containsSemiMixedTypes="0" containsString="0" containsNumber="1" containsInteger="1" minValue="300" maxValue="22500"/>
    </cacheField>
    <cacheField name="Month" numFmtId="0">
      <sharedItems count="6">
        <s v="May"/>
        <s v="March"/>
        <s v="February"/>
        <s v="January"/>
        <s v="June"/>
        <s v="April"/>
      </sharedItems>
    </cacheField>
  </cacheFields>
  <extLst>
    <ext xmlns:x14="http://schemas.microsoft.com/office/spreadsheetml/2009/9/main" uri="{725AE2AE-9491-48be-B2B4-4EB974FC3084}">
      <x14:pivotCacheDefinition pivotCacheId="1318303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001"/>
    <s v="14-05-2025"/>
    <s v="Suma"/>
    <x v="0"/>
    <x v="0"/>
    <x v="0"/>
    <n v="3"/>
    <n v="1200"/>
    <n v="3600"/>
    <x v="0"/>
  </r>
  <r>
    <s v="O002"/>
    <s v="30-03-2025"/>
    <s v="Priya"/>
    <x v="0"/>
    <x v="1"/>
    <x v="1"/>
    <n v="5"/>
    <n v="3500"/>
    <n v="17500"/>
    <x v="1"/>
  </r>
  <r>
    <s v="O003"/>
    <s v="08-02-2025"/>
    <s v="Kiran"/>
    <x v="1"/>
    <x v="2"/>
    <x v="2"/>
    <n v="4"/>
    <n v="300"/>
    <n v="1200"/>
    <x v="2"/>
  </r>
  <r>
    <s v="O004"/>
    <s v="14-03-2025"/>
    <s v="Chinnu"/>
    <x v="1"/>
    <x v="0"/>
    <x v="3"/>
    <n v="4"/>
    <n v="2500"/>
    <n v="10000"/>
    <x v="1"/>
  </r>
  <r>
    <s v="O005"/>
    <s v="06-05-2025"/>
    <s v="Priya"/>
    <x v="0"/>
    <x v="1"/>
    <x v="1"/>
    <n v="5"/>
    <n v="3500"/>
    <n v="17500"/>
    <x v="0"/>
  </r>
  <r>
    <s v="O006"/>
    <s v="28-03-2025"/>
    <s v="Kiran"/>
    <x v="2"/>
    <x v="1"/>
    <x v="4"/>
    <n v="5"/>
    <n v="600"/>
    <n v="3000"/>
    <x v="1"/>
  </r>
  <r>
    <s v="O007"/>
    <s v="20-02-2025"/>
    <s v="Chinnu"/>
    <x v="0"/>
    <x v="2"/>
    <x v="5"/>
    <n v="5"/>
    <n v="3000"/>
    <n v="15000"/>
    <x v="2"/>
  </r>
  <r>
    <s v="O008"/>
    <s v="27-03-2025"/>
    <s v="Anu"/>
    <x v="2"/>
    <x v="1"/>
    <x v="4"/>
    <n v="3"/>
    <n v="600"/>
    <n v="1800"/>
    <x v="1"/>
  </r>
  <r>
    <s v="O009"/>
    <s v="26-05-2025"/>
    <s v="Jyothi"/>
    <x v="3"/>
    <x v="2"/>
    <x v="5"/>
    <n v="4"/>
    <n v="3000"/>
    <n v="12000"/>
    <x v="0"/>
  </r>
  <r>
    <s v="O010"/>
    <s v="20-01-2025"/>
    <s v="Naani"/>
    <x v="0"/>
    <x v="2"/>
    <x v="5"/>
    <n v="4"/>
    <n v="3000"/>
    <n v="12000"/>
    <x v="3"/>
  </r>
  <r>
    <s v="O011"/>
    <s v="16-01-2025"/>
    <s v="Ravi"/>
    <x v="1"/>
    <x v="0"/>
    <x v="6"/>
    <n v="3"/>
    <n v="1800"/>
    <n v="5400"/>
    <x v="3"/>
  </r>
  <r>
    <s v="O012"/>
    <s v="23-05-2025"/>
    <s v="Harsha"/>
    <x v="2"/>
    <x v="0"/>
    <x v="6"/>
    <n v="5"/>
    <n v="1800"/>
    <n v="9000"/>
    <x v="0"/>
  </r>
  <r>
    <s v="O013"/>
    <s v="01-01-2025"/>
    <s v="Anu"/>
    <x v="1"/>
    <x v="1"/>
    <x v="1"/>
    <n v="1"/>
    <n v="3500"/>
    <n v="3500"/>
    <x v="3"/>
  </r>
  <r>
    <s v="O014"/>
    <s v="28-06-2025"/>
    <s v="Naani"/>
    <x v="0"/>
    <x v="2"/>
    <x v="5"/>
    <n v="5"/>
    <n v="3000"/>
    <n v="15000"/>
    <x v="4"/>
  </r>
  <r>
    <s v="O015"/>
    <s v="04-03-2025"/>
    <s v="Harsha"/>
    <x v="1"/>
    <x v="0"/>
    <x v="7"/>
    <n v="4"/>
    <n v="500"/>
    <n v="2000"/>
    <x v="1"/>
  </r>
  <r>
    <s v="O016"/>
    <s v="24-01-2025"/>
    <s v="Ravi"/>
    <x v="3"/>
    <x v="0"/>
    <x v="0"/>
    <n v="1"/>
    <n v="1200"/>
    <n v="1200"/>
    <x v="3"/>
  </r>
  <r>
    <s v="O017"/>
    <s v="22-06-2025"/>
    <s v="Chinnu"/>
    <x v="2"/>
    <x v="1"/>
    <x v="1"/>
    <n v="4"/>
    <n v="3500"/>
    <n v="14000"/>
    <x v="4"/>
  </r>
  <r>
    <s v="O018"/>
    <s v="16-03-2025"/>
    <s v="Chinnu"/>
    <x v="0"/>
    <x v="1"/>
    <x v="8"/>
    <n v="4"/>
    <n v="800"/>
    <n v="3200"/>
    <x v="1"/>
  </r>
  <r>
    <s v="O019"/>
    <s v="12-01-2025"/>
    <s v="Kiran"/>
    <x v="1"/>
    <x v="2"/>
    <x v="9"/>
    <n v="5"/>
    <n v="2200"/>
    <n v="11000"/>
    <x v="3"/>
  </r>
  <r>
    <s v="O020"/>
    <s v="20-03-2025"/>
    <s v="Deepak"/>
    <x v="2"/>
    <x v="1"/>
    <x v="1"/>
    <n v="4"/>
    <n v="3500"/>
    <n v="14000"/>
    <x v="1"/>
  </r>
  <r>
    <s v="O021"/>
    <s v="06-03-2025"/>
    <s v="Chinnu"/>
    <x v="3"/>
    <x v="0"/>
    <x v="10"/>
    <n v="1"/>
    <n v="900"/>
    <n v="900"/>
    <x v="1"/>
  </r>
  <r>
    <s v="O022"/>
    <s v="19-05-2025"/>
    <s v="Ravi"/>
    <x v="0"/>
    <x v="0"/>
    <x v="10"/>
    <n v="2"/>
    <n v="900"/>
    <n v="1800"/>
    <x v="0"/>
  </r>
  <r>
    <s v="O023"/>
    <s v="20-02-2025"/>
    <s v="Harsha"/>
    <x v="1"/>
    <x v="2"/>
    <x v="2"/>
    <n v="4"/>
    <n v="300"/>
    <n v="1200"/>
    <x v="2"/>
  </r>
  <r>
    <s v="O024"/>
    <s v="08-05-2025"/>
    <s v="Priya"/>
    <x v="3"/>
    <x v="0"/>
    <x v="7"/>
    <n v="2"/>
    <n v="500"/>
    <n v="1000"/>
    <x v="0"/>
  </r>
  <r>
    <s v="O025"/>
    <s v="16-02-2025"/>
    <s v="Ravi"/>
    <x v="2"/>
    <x v="1"/>
    <x v="11"/>
    <n v="1"/>
    <n v="1500"/>
    <n v="1500"/>
    <x v="2"/>
  </r>
  <r>
    <s v="O026"/>
    <s v="11-06-2025"/>
    <s v="Kiran"/>
    <x v="1"/>
    <x v="0"/>
    <x v="0"/>
    <n v="4"/>
    <n v="1200"/>
    <n v="4800"/>
    <x v="4"/>
  </r>
  <r>
    <s v="O027"/>
    <s v="01-01-2025"/>
    <s v="Ravi"/>
    <x v="0"/>
    <x v="0"/>
    <x v="7"/>
    <n v="5"/>
    <n v="500"/>
    <n v="2500"/>
    <x v="3"/>
  </r>
  <r>
    <s v="O028"/>
    <s v="06-03-2025"/>
    <s v="Deepak"/>
    <x v="3"/>
    <x v="2"/>
    <x v="12"/>
    <n v="4"/>
    <n v="700"/>
    <n v="2800"/>
    <x v="1"/>
  </r>
  <r>
    <s v="O029"/>
    <s v="15-02-2025"/>
    <s v="Naani"/>
    <x v="2"/>
    <x v="1"/>
    <x v="11"/>
    <n v="2"/>
    <n v="1500"/>
    <n v="3000"/>
    <x v="2"/>
  </r>
  <r>
    <s v="O030"/>
    <s v="02-05-2025"/>
    <s v="Harsha"/>
    <x v="0"/>
    <x v="1"/>
    <x v="8"/>
    <n v="3"/>
    <n v="800"/>
    <n v="2400"/>
    <x v="0"/>
  </r>
  <r>
    <s v="O031"/>
    <s v="11-06-2025"/>
    <s v="Deepak"/>
    <x v="1"/>
    <x v="2"/>
    <x v="13"/>
    <n v="1"/>
    <n v="4500"/>
    <n v="4500"/>
    <x v="4"/>
  </r>
  <r>
    <s v="O032"/>
    <s v="02-02-2025"/>
    <s v="Priya"/>
    <x v="1"/>
    <x v="1"/>
    <x v="4"/>
    <n v="1"/>
    <n v="600"/>
    <n v="600"/>
    <x v="2"/>
  </r>
  <r>
    <s v="O033"/>
    <s v="13-06-2025"/>
    <s v="Anu"/>
    <x v="1"/>
    <x v="2"/>
    <x v="13"/>
    <n v="1"/>
    <n v="4500"/>
    <n v="4500"/>
    <x v="4"/>
  </r>
  <r>
    <s v="O034"/>
    <s v="19-06-2025"/>
    <s v="Suma"/>
    <x v="0"/>
    <x v="0"/>
    <x v="6"/>
    <n v="2"/>
    <n v="1800"/>
    <n v="3600"/>
    <x v="4"/>
  </r>
  <r>
    <s v="O035"/>
    <s v="28-01-2025"/>
    <s v="Ravi"/>
    <x v="0"/>
    <x v="1"/>
    <x v="14"/>
    <n v="2"/>
    <n v="1200"/>
    <n v="2400"/>
    <x v="3"/>
  </r>
  <r>
    <s v="O036"/>
    <s v="08-04-2025"/>
    <s v="Deepak"/>
    <x v="0"/>
    <x v="0"/>
    <x v="10"/>
    <n v="1"/>
    <n v="900"/>
    <n v="900"/>
    <x v="5"/>
  </r>
  <r>
    <s v="O037"/>
    <s v="31-03-2025"/>
    <s v="Anu"/>
    <x v="1"/>
    <x v="2"/>
    <x v="9"/>
    <n v="3"/>
    <n v="2200"/>
    <n v="6600"/>
    <x v="1"/>
  </r>
  <r>
    <s v="O038"/>
    <s v="31-03-2025"/>
    <s v="Anu"/>
    <x v="0"/>
    <x v="0"/>
    <x v="0"/>
    <n v="2"/>
    <n v="1200"/>
    <n v="2400"/>
    <x v="1"/>
  </r>
  <r>
    <s v="O039"/>
    <s v="22-01-2025"/>
    <s v="Chinnu"/>
    <x v="1"/>
    <x v="1"/>
    <x v="4"/>
    <n v="4"/>
    <n v="600"/>
    <n v="2400"/>
    <x v="3"/>
  </r>
  <r>
    <s v="O040"/>
    <s v="10-06-2025"/>
    <s v="Harsha"/>
    <x v="2"/>
    <x v="2"/>
    <x v="13"/>
    <n v="3"/>
    <n v="4500"/>
    <n v="13500"/>
    <x v="4"/>
  </r>
  <r>
    <s v="O041"/>
    <s v="15-04-2025"/>
    <s v="Ravi"/>
    <x v="1"/>
    <x v="2"/>
    <x v="12"/>
    <n v="3"/>
    <n v="700"/>
    <n v="2100"/>
    <x v="5"/>
  </r>
  <r>
    <s v="O042"/>
    <s v="09-03-2025"/>
    <s v="Kiran"/>
    <x v="1"/>
    <x v="2"/>
    <x v="13"/>
    <n v="1"/>
    <n v="4500"/>
    <n v="4500"/>
    <x v="1"/>
  </r>
  <r>
    <s v="O043"/>
    <s v="09-02-2025"/>
    <s v="Naani"/>
    <x v="1"/>
    <x v="2"/>
    <x v="9"/>
    <n v="2"/>
    <n v="2200"/>
    <n v="4400"/>
    <x v="2"/>
  </r>
  <r>
    <s v="O044"/>
    <s v="07-06-2025"/>
    <s v="Naani"/>
    <x v="3"/>
    <x v="1"/>
    <x v="4"/>
    <n v="2"/>
    <n v="600"/>
    <n v="1200"/>
    <x v="4"/>
  </r>
  <r>
    <s v="O045"/>
    <s v="28-06-2025"/>
    <s v="Harsha"/>
    <x v="3"/>
    <x v="0"/>
    <x v="10"/>
    <n v="5"/>
    <n v="900"/>
    <n v="4500"/>
    <x v="4"/>
  </r>
  <r>
    <s v="O046"/>
    <s v="29-06-2025"/>
    <s v="Jyothi"/>
    <x v="1"/>
    <x v="2"/>
    <x v="13"/>
    <n v="2"/>
    <n v="4500"/>
    <n v="9000"/>
    <x v="4"/>
  </r>
  <r>
    <s v="O047"/>
    <s v="30-04-2025"/>
    <s v="Priya"/>
    <x v="0"/>
    <x v="1"/>
    <x v="4"/>
    <n v="5"/>
    <n v="600"/>
    <n v="3000"/>
    <x v="5"/>
  </r>
  <r>
    <s v="O048"/>
    <s v="03-06-2025"/>
    <s v="Jyothi"/>
    <x v="2"/>
    <x v="2"/>
    <x v="2"/>
    <n v="5"/>
    <n v="300"/>
    <n v="1500"/>
    <x v="4"/>
  </r>
  <r>
    <s v="O049"/>
    <s v="24-05-2025"/>
    <s v="Priya"/>
    <x v="0"/>
    <x v="2"/>
    <x v="9"/>
    <n v="2"/>
    <n v="2200"/>
    <n v="4400"/>
    <x v="0"/>
  </r>
  <r>
    <s v="O050"/>
    <s v="10-03-2025"/>
    <s v="Deepak"/>
    <x v="1"/>
    <x v="2"/>
    <x v="12"/>
    <n v="1"/>
    <n v="700"/>
    <n v="700"/>
    <x v="1"/>
  </r>
  <r>
    <s v="O051"/>
    <s v="17-01-2025"/>
    <s v="Harsha"/>
    <x v="3"/>
    <x v="0"/>
    <x v="7"/>
    <n v="1"/>
    <n v="500"/>
    <n v="500"/>
    <x v="3"/>
  </r>
  <r>
    <s v="O052"/>
    <s v="16-04-2025"/>
    <s v="Harsha"/>
    <x v="2"/>
    <x v="2"/>
    <x v="2"/>
    <n v="2"/>
    <n v="300"/>
    <n v="600"/>
    <x v="5"/>
  </r>
  <r>
    <s v="O053"/>
    <s v="23-02-2025"/>
    <s v="Anu"/>
    <x v="3"/>
    <x v="1"/>
    <x v="4"/>
    <n v="5"/>
    <n v="600"/>
    <n v="3000"/>
    <x v="2"/>
  </r>
  <r>
    <s v="O054"/>
    <s v="08-06-2025"/>
    <s v="Jyothi"/>
    <x v="1"/>
    <x v="0"/>
    <x v="6"/>
    <n v="3"/>
    <n v="1800"/>
    <n v="5400"/>
    <x v="4"/>
  </r>
  <r>
    <s v="O055"/>
    <s v="14-05-2025"/>
    <s v="Naani"/>
    <x v="2"/>
    <x v="2"/>
    <x v="13"/>
    <n v="3"/>
    <n v="4500"/>
    <n v="13500"/>
    <x v="0"/>
  </r>
  <r>
    <s v="O056"/>
    <s v="30-06-2025"/>
    <s v="Suma"/>
    <x v="1"/>
    <x v="1"/>
    <x v="8"/>
    <n v="5"/>
    <n v="800"/>
    <n v="4000"/>
    <x v="4"/>
  </r>
  <r>
    <s v="O057"/>
    <s v="04-06-2025"/>
    <s v="Jyothi"/>
    <x v="0"/>
    <x v="2"/>
    <x v="13"/>
    <n v="4"/>
    <n v="4500"/>
    <n v="18000"/>
    <x v="4"/>
  </r>
  <r>
    <s v="O058"/>
    <s v="01-03-2025"/>
    <s v="Ravi"/>
    <x v="0"/>
    <x v="2"/>
    <x v="9"/>
    <n v="3"/>
    <n v="2200"/>
    <n v="6600"/>
    <x v="1"/>
  </r>
  <r>
    <s v="O059"/>
    <s v="20-04-2025"/>
    <s v="Ravi"/>
    <x v="3"/>
    <x v="0"/>
    <x v="7"/>
    <n v="3"/>
    <n v="500"/>
    <n v="1500"/>
    <x v="5"/>
  </r>
  <r>
    <s v="O060"/>
    <s v="27-06-2025"/>
    <s v="Priya"/>
    <x v="2"/>
    <x v="1"/>
    <x v="14"/>
    <n v="1"/>
    <n v="1200"/>
    <n v="1200"/>
    <x v="4"/>
  </r>
  <r>
    <s v="O061"/>
    <s v="14-04-2025"/>
    <s v="Anu"/>
    <x v="3"/>
    <x v="0"/>
    <x v="0"/>
    <n v="4"/>
    <n v="1200"/>
    <n v="4800"/>
    <x v="5"/>
  </r>
  <r>
    <s v="O062"/>
    <s v="22-03-2025"/>
    <s v="Naani"/>
    <x v="3"/>
    <x v="1"/>
    <x v="4"/>
    <n v="5"/>
    <n v="600"/>
    <n v="3000"/>
    <x v="1"/>
  </r>
  <r>
    <s v="O063"/>
    <s v="03-05-2025"/>
    <s v="Kiran"/>
    <x v="3"/>
    <x v="1"/>
    <x v="14"/>
    <n v="5"/>
    <n v="1200"/>
    <n v="6000"/>
    <x v="0"/>
  </r>
  <r>
    <s v="O064"/>
    <s v="14-05-2025"/>
    <s v="Priya"/>
    <x v="3"/>
    <x v="0"/>
    <x v="3"/>
    <n v="2"/>
    <n v="2500"/>
    <n v="5000"/>
    <x v="0"/>
  </r>
  <r>
    <s v="O065"/>
    <s v="04-04-2025"/>
    <s v="Jyothi"/>
    <x v="3"/>
    <x v="1"/>
    <x v="1"/>
    <n v="3"/>
    <n v="3500"/>
    <n v="10500"/>
    <x v="5"/>
  </r>
  <r>
    <s v="O066"/>
    <s v="25-02-2025"/>
    <s v="Ravi"/>
    <x v="3"/>
    <x v="1"/>
    <x v="8"/>
    <n v="5"/>
    <n v="800"/>
    <n v="4000"/>
    <x v="2"/>
  </r>
  <r>
    <s v="O067"/>
    <s v="12-03-2025"/>
    <s v="Priya"/>
    <x v="0"/>
    <x v="2"/>
    <x v="12"/>
    <n v="4"/>
    <n v="700"/>
    <n v="2800"/>
    <x v="1"/>
  </r>
  <r>
    <s v="O068"/>
    <s v="03-06-2025"/>
    <s v="Harsha"/>
    <x v="0"/>
    <x v="0"/>
    <x v="3"/>
    <n v="5"/>
    <n v="2500"/>
    <n v="12500"/>
    <x v="4"/>
  </r>
  <r>
    <s v="O069"/>
    <s v="18-06-2025"/>
    <s v="Jyothi"/>
    <x v="1"/>
    <x v="2"/>
    <x v="12"/>
    <n v="4"/>
    <n v="700"/>
    <n v="2800"/>
    <x v="4"/>
  </r>
  <r>
    <s v="O070"/>
    <s v="09-03-2025"/>
    <s v="Ravi"/>
    <x v="2"/>
    <x v="2"/>
    <x v="12"/>
    <n v="4"/>
    <n v="700"/>
    <n v="2800"/>
    <x v="1"/>
  </r>
  <r>
    <s v="O071"/>
    <s v="26-05-2025"/>
    <s v="Naani"/>
    <x v="1"/>
    <x v="1"/>
    <x v="1"/>
    <n v="2"/>
    <n v="3500"/>
    <n v="7000"/>
    <x v="0"/>
  </r>
  <r>
    <s v="O072"/>
    <s v="10-02-2025"/>
    <s v="Jyothi"/>
    <x v="1"/>
    <x v="0"/>
    <x v="6"/>
    <n v="5"/>
    <n v="1800"/>
    <n v="9000"/>
    <x v="2"/>
  </r>
  <r>
    <s v="O073"/>
    <s v="26-05-2025"/>
    <s v="Naani"/>
    <x v="3"/>
    <x v="2"/>
    <x v="13"/>
    <n v="5"/>
    <n v="4500"/>
    <n v="22500"/>
    <x v="0"/>
  </r>
  <r>
    <s v="O074"/>
    <s v="20-02-2025"/>
    <s v="Ravi"/>
    <x v="1"/>
    <x v="2"/>
    <x v="13"/>
    <n v="3"/>
    <n v="4500"/>
    <n v="13500"/>
    <x v="2"/>
  </r>
  <r>
    <s v="O075"/>
    <s v="12-05-2025"/>
    <s v="Kiran"/>
    <x v="3"/>
    <x v="0"/>
    <x v="7"/>
    <n v="2"/>
    <n v="500"/>
    <n v="1000"/>
    <x v="0"/>
  </r>
  <r>
    <s v="O076"/>
    <s v="24-03-2025"/>
    <s v="Suma"/>
    <x v="1"/>
    <x v="1"/>
    <x v="8"/>
    <n v="1"/>
    <n v="800"/>
    <n v="800"/>
    <x v="1"/>
  </r>
  <r>
    <s v="O077"/>
    <s v="03-03-2025"/>
    <s v="Harsha"/>
    <x v="3"/>
    <x v="2"/>
    <x v="12"/>
    <n v="2"/>
    <n v="700"/>
    <n v="1400"/>
    <x v="1"/>
  </r>
  <r>
    <s v="O078"/>
    <s v="02-02-2025"/>
    <s v="Harsha"/>
    <x v="2"/>
    <x v="0"/>
    <x v="6"/>
    <n v="5"/>
    <n v="1800"/>
    <n v="9000"/>
    <x v="2"/>
  </r>
  <r>
    <s v="O079"/>
    <s v="23-05-2025"/>
    <s v="Anu"/>
    <x v="0"/>
    <x v="0"/>
    <x v="6"/>
    <n v="2"/>
    <n v="1800"/>
    <n v="3600"/>
    <x v="0"/>
  </r>
  <r>
    <s v="O080"/>
    <s v="15-04-2025"/>
    <s v="Naani"/>
    <x v="2"/>
    <x v="0"/>
    <x v="10"/>
    <n v="5"/>
    <n v="900"/>
    <n v="4500"/>
    <x v="5"/>
  </r>
  <r>
    <s v="O081"/>
    <s v="14-05-2025"/>
    <s v="Ravi"/>
    <x v="0"/>
    <x v="2"/>
    <x v="2"/>
    <n v="2"/>
    <n v="300"/>
    <n v="600"/>
    <x v="0"/>
  </r>
  <r>
    <s v="O082"/>
    <s v="22-06-2025"/>
    <s v="Ravi"/>
    <x v="3"/>
    <x v="2"/>
    <x v="12"/>
    <n v="1"/>
    <n v="700"/>
    <n v="700"/>
    <x v="4"/>
  </r>
  <r>
    <s v="O083"/>
    <s v="09-02-2025"/>
    <s v="Harsha"/>
    <x v="0"/>
    <x v="2"/>
    <x v="2"/>
    <n v="3"/>
    <n v="300"/>
    <n v="900"/>
    <x v="2"/>
  </r>
  <r>
    <s v="O084"/>
    <s v="08-03-2025"/>
    <s v="Kiran"/>
    <x v="2"/>
    <x v="0"/>
    <x v="0"/>
    <n v="3"/>
    <n v="1200"/>
    <n v="3600"/>
    <x v="1"/>
  </r>
  <r>
    <s v="O085"/>
    <s v="15-02-2025"/>
    <s v="Chinnu"/>
    <x v="1"/>
    <x v="0"/>
    <x v="7"/>
    <n v="4"/>
    <n v="500"/>
    <n v="2000"/>
    <x v="2"/>
  </r>
  <r>
    <s v="O086"/>
    <s v="26-05-2025"/>
    <s v="Kiran"/>
    <x v="3"/>
    <x v="1"/>
    <x v="14"/>
    <n v="5"/>
    <n v="1200"/>
    <n v="6000"/>
    <x v="0"/>
  </r>
  <r>
    <s v="O087"/>
    <s v="11-05-2025"/>
    <s v="Harsha"/>
    <x v="1"/>
    <x v="2"/>
    <x v="5"/>
    <n v="2"/>
    <n v="3000"/>
    <n v="6000"/>
    <x v="0"/>
  </r>
  <r>
    <s v="O088"/>
    <s v="27-05-2025"/>
    <s v="Kiran"/>
    <x v="1"/>
    <x v="0"/>
    <x v="6"/>
    <n v="2"/>
    <n v="1800"/>
    <n v="3600"/>
    <x v="0"/>
  </r>
  <r>
    <s v="O089"/>
    <s v="18-01-2025"/>
    <s v="Jyothi"/>
    <x v="2"/>
    <x v="1"/>
    <x v="14"/>
    <n v="2"/>
    <n v="1200"/>
    <n v="2400"/>
    <x v="3"/>
  </r>
  <r>
    <s v="O090"/>
    <s v="27-05-2025"/>
    <s v="Naani"/>
    <x v="2"/>
    <x v="2"/>
    <x v="2"/>
    <n v="5"/>
    <n v="300"/>
    <n v="1500"/>
    <x v="0"/>
  </r>
  <r>
    <s v="O091"/>
    <s v="14-05-2025"/>
    <s v="Ravi"/>
    <x v="1"/>
    <x v="0"/>
    <x v="6"/>
    <n v="4"/>
    <n v="1800"/>
    <n v="7200"/>
    <x v="0"/>
  </r>
  <r>
    <s v="O092"/>
    <s v="27-03-2025"/>
    <s v="Anu"/>
    <x v="3"/>
    <x v="1"/>
    <x v="8"/>
    <n v="3"/>
    <n v="800"/>
    <n v="2400"/>
    <x v="1"/>
  </r>
  <r>
    <s v="O093"/>
    <s v="07-03-2025"/>
    <s v="Kiran"/>
    <x v="1"/>
    <x v="2"/>
    <x v="13"/>
    <n v="2"/>
    <n v="4500"/>
    <n v="9000"/>
    <x v="1"/>
  </r>
  <r>
    <s v="O094"/>
    <s v="06-04-2025"/>
    <s v="Ravi"/>
    <x v="0"/>
    <x v="2"/>
    <x v="12"/>
    <n v="2"/>
    <n v="700"/>
    <n v="1400"/>
    <x v="5"/>
  </r>
  <r>
    <s v="O095"/>
    <s v="21-03-2025"/>
    <s v="Kiran"/>
    <x v="3"/>
    <x v="2"/>
    <x v="12"/>
    <n v="2"/>
    <n v="700"/>
    <n v="1400"/>
    <x v="1"/>
  </r>
  <r>
    <s v="O096"/>
    <s v="26-04-2025"/>
    <s v="Harsha"/>
    <x v="2"/>
    <x v="0"/>
    <x v="6"/>
    <n v="3"/>
    <n v="1800"/>
    <n v="5400"/>
    <x v="5"/>
  </r>
  <r>
    <s v="O097"/>
    <s v="09-03-2025"/>
    <s v="Priya"/>
    <x v="1"/>
    <x v="1"/>
    <x v="1"/>
    <n v="3"/>
    <n v="3500"/>
    <n v="10500"/>
    <x v="1"/>
  </r>
  <r>
    <s v="O098"/>
    <s v="04-02-2025"/>
    <s v="Ravi"/>
    <x v="3"/>
    <x v="0"/>
    <x v="7"/>
    <n v="2"/>
    <n v="500"/>
    <n v="1000"/>
    <x v="2"/>
  </r>
  <r>
    <s v="O099"/>
    <s v="12-05-2025"/>
    <s v="Anu"/>
    <x v="1"/>
    <x v="1"/>
    <x v="8"/>
    <n v="4"/>
    <n v="800"/>
    <n v="3200"/>
    <x v="0"/>
  </r>
  <r>
    <s v="O100"/>
    <s v="02-01-2025"/>
    <s v="Kiran"/>
    <x v="1"/>
    <x v="0"/>
    <x v="3"/>
    <n v="4"/>
    <n v="2500"/>
    <n v="10000"/>
    <x v="3"/>
  </r>
  <r>
    <s v="O101"/>
    <s v="17-03-2025"/>
    <s v="Deepak"/>
    <x v="3"/>
    <x v="1"/>
    <x v="1"/>
    <n v="5"/>
    <n v="3500"/>
    <n v="17500"/>
    <x v="1"/>
  </r>
  <r>
    <s v="O102"/>
    <s v="10-04-2025"/>
    <s v="Chinnu"/>
    <x v="3"/>
    <x v="2"/>
    <x v="2"/>
    <n v="2"/>
    <n v="300"/>
    <n v="600"/>
    <x v="5"/>
  </r>
  <r>
    <s v="O103"/>
    <s v="05-06-2025"/>
    <s v="Ravi"/>
    <x v="1"/>
    <x v="0"/>
    <x v="3"/>
    <n v="1"/>
    <n v="2500"/>
    <n v="2500"/>
    <x v="4"/>
  </r>
  <r>
    <s v="O104"/>
    <s v="24-04-2025"/>
    <s v="Priya"/>
    <x v="0"/>
    <x v="0"/>
    <x v="10"/>
    <n v="5"/>
    <n v="900"/>
    <n v="4500"/>
    <x v="5"/>
  </r>
  <r>
    <s v="O105"/>
    <s v="20-02-2025"/>
    <s v="Naani"/>
    <x v="0"/>
    <x v="1"/>
    <x v="4"/>
    <n v="5"/>
    <n v="600"/>
    <n v="3000"/>
    <x v="2"/>
  </r>
  <r>
    <s v="O106"/>
    <s v="14-01-2025"/>
    <s v="Suma"/>
    <x v="0"/>
    <x v="0"/>
    <x v="10"/>
    <n v="2"/>
    <n v="900"/>
    <n v="1800"/>
    <x v="3"/>
  </r>
  <r>
    <s v="O107"/>
    <s v="18-02-2025"/>
    <s v="Suma"/>
    <x v="1"/>
    <x v="2"/>
    <x v="5"/>
    <n v="4"/>
    <n v="3000"/>
    <n v="12000"/>
    <x v="2"/>
  </r>
  <r>
    <s v="O108"/>
    <s v="13-03-2025"/>
    <s v="Deepak"/>
    <x v="3"/>
    <x v="1"/>
    <x v="11"/>
    <n v="4"/>
    <n v="1500"/>
    <n v="6000"/>
    <x v="1"/>
  </r>
  <r>
    <s v="O109"/>
    <s v="11-01-2025"/>
    <s v="Jyothi"/>
    <x v="1"/>
    <x v="2"/>
    <x v="5"/>
    <n v="2"/>
    <n v="3000"/>
    <n v="6000"/>
    <x v="3"/>
  </r>
  <r>
    <s v="O110"/>
    <s v="01-03-2025"/>
    <s v="Priya"/>
    <x v="2"/>
    <x v="0"/>
    <x v="7"/>
    <n v="2"/>
    <n v="500"/>
    <n v="1000"/>
    <x v="1"/>
  </r>
  <r>
    <s v="O111"/>
    <s v="12-01-2025"/>
    <s v="Harsha"/>
    <x v="3"/>
    <x v="2"/>
    <x v="13"/>
    <n v="3"/>
    <n v="4500"/>
    <n v="13500"/>
    <x v="3"/>
  </r>
  <r>
    <s v="O112"/>
    <s v="03-04-2025"/>
    <s v="Kiran"/>
    <x v="2"/>
    <x v="2"/>
    <x v="13"/>
    <n v="3"/>
    <n v="4500"/>
    <n v="13500"/>
    <x v="5"/>
  </r>
  <r>
    <s v="O113"/>
    <s v="15-06-2025"/>
    <s v="Naani"/>
    <x v="0"/>
    <x v="0"/>
    <x v="3"/>
    <n v="2"/>
    <n v="2500"/>
    <n v="5000"/>
    <x v="4"/>
  </r>
  <r>
    <s v="O114"/>
    <s v="15-01-2025"/>
    <s v="Suma"/>
    <x v="2"/>
    <x v="0"/>
    <x v="3"/>
    <n v="4"/>
    <n v="2500"/>
    <n v="10000"/>
    <x v="3"/>
  </r>
  <r>
    <s v="O115"/>
    <s v="14-03-2025"/>
    <s v="Kiran"/>
    <x v="3"/>
    <x v="1"/>
    <x v="1"/>
    <n v="5"/>
    <n v="3500"/>
    <n v="17500"/>
    <x v="1"/>
  </r>
  <r>
    <s v="O116"/>
    <s v="20-04-2025"/>
    <s v="Kiran"/>
    <x v="1"/>
    <x v="0"/>
    <x v="7"/>
    <n v="1"/>
    <n v="500"/>
    <n v="500"/>
    <x v="5"/>
  </r>
  <r>
    <s v="O117"/>
    <s v="24-06-2025"/>
    <s v="Deepak"/>
    <x v="3"/>
    <x v="2"/>
    <x v="9"/>
    <n v="2"/>
    <n v="2200"/>
    <n v="4400"/>
    <x v="4"/>
  </r>
  <r>
    <s v="O118"/>
    <s v="06-05-2025"/>
    <s v="Jyothi"/>
    <x v="3"/>
    <x v="2"/>
    <x v="2"/>
    <n v="2"/>
    <n v="300"/>
    <n v="600"/>
    <x v="0"/>
  </r>
  <r>
    <s v="O119"/>
    <s v="04-02-2025"/>
    <s v="Priya"/>
    <x v="3"/>
    <x v="0"/>
    <x v="10"/>
    <n v="4"/>
    <n v="900"/>
    <n v="3600"/>
    <x v="2"/>
  </r>
  <r>
    <s v="O120"/>
    <s v="09-04-2025"/>
    <s v="Naani"/>
    <x v="1"/>
    <x v="0"/>
    <x v="0"/>
    <n v="5"/>
    <n v="1200"/>
    <n v="6000"/>
    <x v="5"/>
  </r>
  <r>
    <s v="O121"/>
    <s v="11-03-2025"/>
    <s v="Deepak"/>
    <x v="2"/>
    <x v="1"/>
    <x v="11"/>
    <n v="1"/>
    <n v="1500"/>
    <n v="1500"/>
    <x v="1"/>
  </r>
  <r>
    <s v="O122"/>
    <s v="12-06-2025"/>
    <s v="Harsha"/>
    <x v="3"/>
    <x v="2"/>
    <x v="12"/>
    <n v="3"/>
    <n v="700"/>
    <n v="2100"/>
    <x v="4"/>
  </r>
  <r>
    <s v="O123"/>
    <s v="22-06-2025"/>
    <s v="Harsha"/>
    <x v="1"/>
    <x v="2"/>
    <x v="9"/>
    <n v="2"/>
    <n v="2200"/>
    <n v="4400"/>
    <x v="4"/>
  </r>
  <r>
    <s v="O124"/>
    <s v="09-04-2025"/>
    <s v="Deepak"/>
    <x v="3"/>
    <x v="0"/>
    <x v="10"/>
    <n v="1"/>
    <n v="900"/>
    <n v="900"/>
    <x v="5"/>
  </r>
  <r>
    <s v="O125"/>
    <s v="21-05-2025"/>
    <s v="Harsha"/>
    <x v="3"/>
    <x v="1"/>
    <x v="14"/>
    <n v="3"/>
    <n v="1200"/>
    <n v="3600"/>
    <x v="0"/>
  </r>
  <r>
    <s v="O126"/>
    <s v="04-05-2025"/>
    <s v="Priya"/>
    <x v="2"/>
    <x v="1"/>
    <x v="8"/>
    <n v="3"/>
    <n v="800"/>
    <n v="2400"/>
    <x v="0"/>
  </r>
  <r>
    <s v="O127"/>
    <s v="31-05-2025"/>
    <s v="Ravi"/>
    <x v="1"/>
    <x v="1"/>
    <x v="1"/>
    <n v="1"/>
    <n v="3500"/>
    <n v="3500"/>
    <x v="0"/>
  </r>
  <r>
    <s v="O128"/>
    <s v="19-02-2025"/>
    <s v="Anu"/>
    <x v="0"/>
    <x v="1"/>
    <x v="11"/>
    <n v="5"/>
    <n v="1500"/>
    <n v="7500"/>
    <x v="2"/>
  </r>
  <r>
    <s v="O129"/>
    <s v="11-03-2025"/>
    <s v="Ravi"/>
    <x v="0"/>
    <x v="0"/>
    <x v="7"/>
    <n v="3"/>
    <n v="500"/>
    <n v="1500"/>
    <x v="1"/>
  </r>
  <r>
    <s v="O130"/>
    <s v="21-04-2025"/>
    <s v="Kiran"/>
    <x v="1"/>
    <x v="2"/>
    <x v="12"/>
    <n v="2"/>
    <n v="700"/>
    <n v="1400"/>
    <x v="5"/>
  </r>
  <r>
    <s v="O131"/>
    <s v="15-05-2025"/>
    <s v="Deepak"/>
    <x v="3"/>
    <x v="2"/>
    <x v="12"/>
    <n v="1"/>
    <n v="700"/>
    <n v="700"/>
    <x v="0"/>
  </r>
  <r>
    <s v="O132"/>
    <s v="03-04-2025"/>
    <s v="Priya"/>
    <x v="3"/>
    <x v="0"/>
    <x v="3"/>
    <n v="1"/>
    <n v="2500"/>
    <n v="2500"/>
    <x v="5"/>
  </r>
  <r>
    <s v="O133"/>
    <s v="23-04-2025"/>
    <s v="Naani"/>
    <x v="3"/>
    <x v="0"/>
    <x v="6"/>
    <n v="5"/>
    <n v="1800"/>
    <n v="9000"/>
    <x v="5"/>
  </r>
  <r>
    <s v="O134"/>
    <s v="21-03-2025"/>
    <s v="Deepak"/>
    <x v="2"/>
    <x v="0"/>
    <x v="6"/>
    <n v="3"/>
    <n v="1800"/>
    <n v="5400"/>
    <x v="1"/>
  </r>
  <r>
    <s v="O135"/>
    <s v="03-04-2025"/>
    <s v="Kiran"/>
    <x v="3"/>
    <x v="1"/>
    <x v="4"/>
    <n v="1"/>
    <n v="600"/>
    <n v="600"/>
    <x v="5"/>
  </r>
  <r>
    <s v="O136"/>
    <s v="05-05-2025"/>
    <s v="Ravi"/>
    <x v="3"/>
    <x v="0"/>
    <x v="3"/>
    <n v="1"/>
    <n v="2500"/>
    <n v="2500"/>
    <x v="0"/>
  </r>
  <r>
    <s v="O137"/>
    <s v="20-02-2025"/>
    <s v="Anu"/>
    <x v="2"/>
    <x v="1"/>
    <x v="8"/>
    <n v="4"/>
    <n v="800"/>
    <n v="3200"/>
    <x v="2"/>
  </r>
  <r>
    <s v="O138"/>
    <s v="28-05-2025"/>
    <s v="Anu"/>
    <x v="1"/>
    <x v="0"/>
    <x v="10"/>
    <n v="4"/>
    <n v="900"/>
    <n v="3600"/>
    <x v="0"/>
  </r>
  <r>
    <s v="O139"/>
    <s v="08-06-2025"/>
    <s v="Jyothi"/>
    <x v="1"/>
    <x v="2"/>
    <x v="2"/>
    <n v="4"/>
    <n v="300"/>
    <n v="1200"/>
    <x v="4"/>
  </r>
  <r>
    <s v="O140"/>
    <s v="27-04-2025"/>
    <s v="Priya"/>
    <x v="0"/>
    <x v="2"/>
    <x v="12"/>
    <n v="4"/>
    <n v="700"/>
    <n v="2800"/>
    <x v="5"/>
  </r>
  <r>
    <s v="O141"/>
    <s v="14-05-2025"/>
    <s v="Ravi"/>
    <x v="1"/>
    <x v="0"/>
    <x v="0"/>
    <n v="3"/>
    <n v="1200"/>
    <n v="3600"/>
    <x v="0"/>
  </r>
  <r>
    <s v="O142"/>
    <s v="09-02-2025"/>
    <s v="Jyothi"/>
    <x v="1"/>
    <x v="1"/>
    <x v="8"/>
    <n v="2"/>
    <n v="800"/>
    <n v="1600"/>
    <x v="2"/>
  </r>
  <r>
    <s v="O143"/>
    <s v="24-03-2025"/>
    <s v="Naani"/>
    <x v="1"/>
    <x v="2"/>
    <x v="13"/>
    <n v="3"/>
    <n v="4500"/>
    <n v="13500"/>
    <x v="1"/>
  </r>
  <r>
    <s v="O144"/>
    <s v="09-05-2025"/>
    <s v="Ravi"/>
    <x v="1"/>
    <x v="0"/>
    <x v="7"/>
    <n v="2"/>
    <n v="500"/>
    <n v="1000"/>
    <x v="0"/>
  </r>
  <r>
    <s v="O145"/>
    <s v="22-04-2025"/>
    <s v="Kiran"/>
    <x v="1"/>
    <x v="2"/>
    <x v="13"/>
    <n v="3"/>
    <n v="4500"/>
    <n v="13500"/>
    <x v="5"/>
  </r>
  <r>
    <s v="O146"/>
    <s v="01-01-2025"/>
    <s v="Kiran"/>
    <x v="1"/>
    <x v="1"/>
    <x v="1"/>
    <n v="4"/>
    <n v="3500"/>
    <n v="14000"/>
    <x v="3"/>
  </r>
  <r>
    <s v="O147"/>
    <s v="28-03-2025"/>
    <s v="Harsha"/>
    <x v="3"/>
    <x v="0"/>
    <x v="0"/>
    <n v="1"/>
    <n v="1200"/>
    <n v="1200"/>
    <x v="1"/>
  </r>
  <r>
    <s v="O148"/>
    <s v="03-01-2025"/>
    <s v="Ravi"/>
    <x v="2"/>
    <x v="1"/>
    <x v="8"/>
    <n v="1"/>
    <n v="800"/>
    <n v="800"/>
    <x v="3"/>
  </r>
  <r>
    <s v="O149"/>
    <s v="21-04-2025"/>
    <s v="Kiran"/>
    <x v="0"/>
    <x v="2"/>
    <x v="5"/>
    <n v="1"/>
    <n v="3000"/>
    <n v="3000"/>
    <x v="5"/>
  </r>
  <r>
    <s v="O150"/>
    <s v="27-01-2025"/>
    <s v="Anu"/>
    <x v="2"/>
    <x v="0"/>
    <x v="3"/>
    <n v="4"/>
    <n v="2500"/>
    <n v="10000"/>
    <x v="3"/>
  </r>
  <r>
    <s v="O151"/>
    <s v="04-05-2025"/>
    <s v="Harsha"/>
    <x v="1"/>
    <x v="2"/>
    <x v="9"/>
    <n v="1"/>
    <n v="2200"/>
    <n v="2200"/>
    <x v="0"/>
  </r>
  <r>
    <s v="O152"/>
    <s v="14-03-2025"/>
    <s v="Suma"/>
    <x v="1"/>
    <x v="2"/>
    <x v="5"/>
    <n v="2"/>
    <n v="3000"/>
    <n v="6000"/>
    <x v="1"/>
  </r>
  <r>
    <s v="O153"/>
    <s v="03-06-2025"/>
    <s v="Priya"/>
    <x v="2"/>
    <x v="0"/>
    <x v="10"/>
    <n v="1"/>
    <n v="900"/>
    <n v="900"/>
    <x v="4"/>
  </r>
  <r>
    <s v="O154"/>
    <s v="13-02-2025"/>
    <s v="Jyothi"/>
    <x v="0"/>
    <x v="2"/>
    <x v="9"/>
    <n v="1"/>
    <n v="2200"/>
    <n v="2200"/>
    <x v="2"/>
  </r>
  <r>
    <s v="O155"/>
    <s v="13-02-2025"/>
    <s v="Kiran"/>
    <x v="0"/>
    <x v="2"/>
    <x v="5"/>
    <n v="1"/>
    <n v="3000"/>
    <n v="3000"/>
    <x v="2"/>
  </r>
  <r>
    <s v="O156"/>
    <s v="19-03-2025"/>
    <s v="Jyothi"/>
    <x v="1"/>
    <x v="1"/>
    <x v="11"/>
    <n v="4"/>
    <n v="1500"/>
    <n v="6000"/>
    <x v="1"/>
  </r>
  <r>
    <s v="O157"/>
    <s v="12-03-2025"/>
    <s v="Chinnu"/>
    <x v="2"/>
    <x v="1"/>
    <x v="11"/>
    <n v="3"/>
    <n v="1500"/>
    <n v="4500"/>
    <x v="1"/>
  </r>
  <r>
    <s v="O158"/>
    <s v="15-06-2025"/>
    <s v="Naani"/>
    <x v="0"/>
    <x v="2"/>
    <x v="5"/>
    <n v="2"/>
    <n v="3000"/>
    <n v="6000"/>
    <x v="4"/>
  </r>
  <r>
    <s v="O159"/>
    <s v="13-03-2025"/>
    <s v="Kiran"/>
    <x v="3"/>
    <x v="0"/>
    <x v="0"/>
    <n v="4"/>
    <n v="1200"/>
    <n v="4800"/>
    <x v="1"/>
  </r>
  <r>
    <s v="O160"/>
    <s v="25-02-2025"/>
    <s v="Deepak"/>
    <x v="2"/>
    <x v="2"/>
    <x v="2"/>
    <n v="2"/>
    <n v="300"/>
    <n v="600"/>
    <x v="2"/>
  </r>
  <r>
    <s v="O161"/>
    <s v="01-06-2025"/>
    <s v="Jyothi"/>
    <x v="0"/>
    <x v="1"/>
    <x v="1"/>
    <n v="3"/>
    <n v="3500"/>
    <n v="10500"/>
    <x v="4"/>
  </r>
  <r>
    <s v="O162"/>
    <s v="23-06-2025"/>
    <s v="Ravi"/>
    <x v="0"/>
    <x v="0"/>
    <x v="7"/>
    <n v="3"/>
    <n v="500"/>
    <n v="1500"/>
    <x v="4"/>
  </r>
  <r>
    <s v="O163"/>
    <s v="21-03-2025"/>
    <s v="Jyothi"/>
    <x v="2"/>
    <x v="2"/>
    <x v="2"/>
    <n v="2"/>
    <n v="300"/>
    <n v="600"/>
    <x v="1"/>
  </r>
  <r>
    <s v="O164"/>
    <s v="21-05-2025"/>
    <s v="Deepak"/>
    <x v="2"/>
    <x v="2"/>
    <x v="9"/>
    <n v="5"/>
    <n v="2200"/>
    <n v="11000"/>
    <x v="0"/>
  </r>
  <r>
    <s v="O165"/>
    <s v="25-05-2025"/>
    <s v="Deepak"/>
    <x v="1"/>
    <x v="2"/>
    <x v="5"/>
    <n v="2"/>
    <n v="3000"/>
    <n v="6000"/>
    <x v="0"/>
  </r>
  <r>
    <s v="O166"/>
    <s v="28-05-2025"/>
    <s v="Kiran"/>
    <x v="1"/>
    <x v="2"/>
    <x v="9"/>
    <n v="4"/>
    <n v="2200"/>
    <n v="8800"/>
    <x v="0"/>
  </r>
  <r>
    <s v="O167"/>
    <s v="01-05-2025"/>
    <s v="Deepak"/>
    <x v="2"/>
    <x v="1"/>
    <x v="8"/>
    <n v="5"/>
    <n v="800"/>
    <n v="4000"/>
    <x v="0"/>
  </r>
  <r>
    <s v="O168"/>
    <s v="10-02-2025"/>
    <s v="Kiran"/>
    <x v="3"/>
    <x v="1"/>
    <x v="1"/>
    <n v="5"/>
    <n v="3500"/>
    <n v="17500"/>
    <x v="2"/>
  </r>
  <r>
    <s v="O169"/>
    <s v="27-02-2025"/>
    <s v="Deepak"/>
    <x v="0"/>
    <x v="1"/>
    <x v="1"/>
    <n v="5"/>
    <n v="3500"/>
    <n v="17500"/>
    <x v="2"/>
  </r>
  <r>
    <s v="O170"/>
    <s v="03-06-2025"/>
    <s v="Ravi"/>
    <x v="1"/>
    <x v="2"/>
    <x v="9"/>
    <n v="4"/>
    <n v="2200"/>
    <n v="8800"/>
    <x v="4"/>
  </r>
  <r>
    <s v="O171"/>
    <s v="11-06-2025"/>
    <s v="Naani"/>
    <x v="2"/>
    <x v="1"/>
    <x v="8"/>
    <n v="3"/>
    <n v="800"/>
    <n v="2400"/>
    <x v="4"/>
  </r>
  <r>
    <s v="O172"/>
    <s v="07-02-2025"/>
    <s v="Deepak"/>
    <x v="1"/>
    <x v="0"/>
    <x v="3"/>
    <n v="4"/>
    <n v="2500"/>
    <n v="10000"/>
    <x v="2"/>
  </r>
  <r>
    <s v="O173"/>
    <s v="20-04-2025"/>
    <s v="Harsha"/>
    <x v="3"/>
    <x v="1"/>
    <x v="1"/>
    <n v="4"/>
    <n v="3500"/>
    <n v="14000"/>
    <x v="5"/>
  </r>
  <r>
    <s v="O174"/>
    <s v="06-05-2025"/>
    <s v="Anu"/>
    <x v="1"/>
    <x v="0"/>
    <x v="7"/>
    <n v="2"/>
    <n v="500"/>
    <n v="1000"/>
    <x v="0"/>
  </r>
  <r>
    <s v="O175"/>
    <s v="16-04-2025"/>
    <s v="Chinnu"/>
    <x v="3"/>
    <x v="0"/>
    <x v="3"/>
    <n v="2"/>
    <n v="2500"/>
    <n v="5000"/>
    <x v="5"/>
  </r>
  <r>
    <s v="O176"/>
    <s v="14-02-2025"/>
    <s v="Harsha"/>
    <x v="1"/>
    <x v="1"/>
    <x v="8"/>
    <n v="5"/>
    <n v="800"/>
    <n v="4000"/>
    <x v="2"/>
  </r>
  <r>
    <s v="O177"/>
    <s v="18-03-2025"/>
    <s v="Naani"/>
    <x v="3"/>
    <x v="0"/>
    <x v="6"/>
    <n v="3"/>
    <n v="1800"/>
    <n v="5400"/>
    <x v="1"/>
  </r>
  <r>
    <s v="O178"/>
    <s v="05-01-2025"/>
    <s v="Harsha"/>
    <x v="3"/>
    <x v="0"/>
    <x v="3"/>
    <n v="1"/>
    <n v="2500"/>
    <n v="2500"/>
    <x v="3"/>
  </r>
  <r>
    <s v="O179"/>
    <s v="11-01-2025"/>
    <s v="Priya"/>
    <x v="3"/>
    <x v="1"/>
    <x v="14"/>
    <n v="1"/>
    <n v="1200"/>
    <n v="1200"/>
    <x v="3"/>
  </r>
  <r>
    <s v="O180"/>
    <s v="26-02-2025"/>
    <s v="Priya"/>
    <x v="3"/>
    <x v="2"/>
    <x v="9"/>
    <n v="5"/>
    <n v="2200"/>
    <n v="11000"/>
    <x v="2"/>
  </r>
  <r>
    <s v="O181"/>
    <s v="05-06-2025"/>
    <s v="Priya"/>
    <x v="2"/>
    <x v="2"/>
    <x v="2"/>
    <n v="2"/>
    <n v="300"/>
    <n v="600"/>
    <x v="4"/>
  </r>
  <r>
    <s v="O182"/>
    <s v="27-06-2025"/>
    <s v="Anu"/>
    <x v="3"/>
    <x v="1"/>
    <x v="14"/>
    <n v="2"/>
    <n v="1200"/>
    <n v="2400"/>
    <x v="4"/>
  </r>
  <r>
    <s v="O183"/>
    <s v="31-03-2025"/>
    <s v="Naani"/>
    <x v="3"/>
    <x v="1"/>
    <x v="8"/>
    <n v="4"/>
    <n v="800"/>
    <n v="3200"/>
    <x v="1"/>
  </r>
  <r>
    <s v="O184"/>
    <s v="26-01-2025"/>
    <s v="Harsha"/>
    <x v="2"/>
    <x v="0"/>
    <x v="7"/>
    <n v="1"/>
    <n v="500"/>
    <n v="500"/>
    <x v="3"/>
  </r>
  <r>
    <s v="O185"/>
    <s v="07-03-2025"/>
    <s v="Deepak"/>
    <x v="3"/>
    <x v="1"/>
    <x v="4"/>
    <n v="2"/>
    <n v="600"/>
    <n v="1200"/>
    <x v="1"/>
  </r>
  <r>
    <s v="O186"/>
    <s v="30-04-2025"/>
    <s v="Chinnu"/>
    <x v="0"/>
    <x v="2"/>
    <x v="13"/>
    <n v="5"/>
    <n v="4500"/>
    <n v="22500"/>
    <x v="5"/>
  </r>
  <r>
    <s v="O187"/>
    <s v="12-05-2025"/>
    <s v="Anu"/>
    <x v="2"/>
    <x v="0"/>
    <x v="7"/>
    <n v="3"/>
    <n v="500"/>
    <n v="1500"/>
    <x v="0"/>
  </r>
  <r>
    <s v="O188"/>
    <s v="04-04-2025"/>
    <s v="Kiran"/>
    <x v="1"/>
    <x v="2"/>
    <x v="9"/>
    <n v="4"/>
    <n v="2200"/>
    <n v="8800"/>
    <x v="5"/>
  </r>
  <r>
    <s v="O189"/>
    <s v="21-04-2025"/>
    <s v="Suma"/>
    <x v="2"/>
    <x v="1"/>
    <x v="8"/>
    <n v="1"/>
    <n v="800"/>
    <n v="800"/>
    <x v="5"/>
  </r>
  <r>
    <s v="O190"/>
    <s v="10-01-2025"/>
    <s v="Naani"/>
    <x v="1"/>
    <x v="1"/>
    <x v="14"/>
    <n v="5"/>
    <n v="1200"/>
    <n v="6000"/>
    <x v="3"/>
  </r>
  <r>
    <s v="O191"/>
    <s v="04-04-2025"/>
    <s v="Priya"/>
    <x v="1"/>
    <x v="2"/>
    <x v="12"/>
    <n v="2"/>
    <n v="700"/>
    <n v="1400"/>
    <x v="5"/>
  </r>
  <r>
    <s v="O192"/>
    <s v="28-02-2025"/>
    <s v="Jyothi"/>
    <x v="3"/>
    <x v="1"/>
    <x v="1"/>
    <n v="4"/>
    <n v="3500"/>
    <n v="14000"/>
    <x v="2"/>
  </r>
  <r>
    <s v="O193"/>
    <s v="31-01-2025"/>
    <s v="Kiran"/>
    <x v="1"/>
    <x v="2"/>
    <x v="12"/>
    <n v="4"/>
    <n v="700"/>
    <n v="2800"/>
    <x v="3"/>
  </r>
  <r>
    <s v="O194"/>
    <s v="27-02-2025"/>
    <s v="Priya"/>
    <x v="2"/>
    <x v="1"/>
    <x v="8"/>
    <n v="1"/>
    <n v="800"/>
    <n v="800"/>
    <x v="2"/>
  </r>
  <r>
    <s v="O195"/>
    <s v="04-02-2025"/>
    <s v="Kiran"/>
    <x v="2"/>
    <x v="1"/>
    <x v="1"/>
    <n v="5"/>
    <n v="3500"/>
    <n v="17500"/>
    <x v="2"/>
  </r>
  <r>
    <s v="O196"/>
    <s v="10-04-2025"/>
    <s v="Chinnu"/>
    <x v="0"/>
    <x v="2"/>
    <x v="12"/>
    <n v="2"/>
    <n v="700"/>
    <n v="1400"/>
    <x v="5"/>
  </r>
  <r>
    <s v="O197"/>
    <s v="25-02-2025"/>
    <s v="Suma"/>
    <x v="2"/>
    <x v="0"/>
    <x v="0"/>
    <n v="1"/>
    <n v="1200"/>
    <n v="1200"/>
    <x v="2"/>
  </r>
  <r>
    <s v="O198"/>
    <s v="09-05-2025"/>
    <s v="Priya"/>
    <x v="0"/>
    <x v="1"/>
    <x v="11"/>
    <n v="3"/>
    <n v="1500"/>
    <n v="4500"/>
    <x v="0"/>
  </r>
  <r>
    <s v="O199"/>
    <s v="18-04-2025"/>
    <s v="Harsha"/>
    <x v="0"/>
    <x v="1"/>
    <x v="14"/>
    <n v="2"/>
    <n v="1200"/>
    <n v="2400"/>
    <x v="5"/>
  </r>
  <r>
    <s v="O200"/>
    <s v="05-02-2025"/>
    <s v="Harsha"/>
    <x v="2"/>
    <x v="2"/>
    <x v="2"/>
    <n v="1"/>
    <n v="300"/>
    <n v="3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5D597-A656-4467-B472-38F9CCC406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X1:Y5" firstHeaderRow="1" firstDataRow="1" firstDataCol="1"/>
  <pivotFields count="10">
    <pivotField showAll="0"/>
    <pivotField showAll="0"/>
    <pivotField showAll="0"/>
    <pivotField showAll="0">
      <items count="5">
        <item x="0"/>
        <item x="1"/>
        <item x="3"/>
        <item x="2"/>
        <item t="default"/>
      </items>
    </pivotField>
    <pivotField axis="axisRow" showAll="0">
      <items count="4">
        <item x="1"/>
        <item x="0"/>
        <item x="2"/>
        <item t="default"/>
      </items>
    </pivotField>
    <pivotField showAll="0"/>
    <pivotField showAll="0"/>
    <pivotField showAll="0"/>
    <pivotField dataField="1" showAll="0"/>
    <pivotField showAll="0">
      <items count="7">
        <item x="3"/>
        <item x="2"/>
        <item x="1"/>
        <item x="5"/>
        <item x="0"/>
        <item x="4"/>
        <item t="default"/>
      </items>
    </pivotField>
  </pivotFields>
  <rowFields count="1">
    <field x="4"/>
  </rowFields>
  <rowItems count="4">
    <i>
      <x/>
    </i>
    <i>
      <x v="1"/>
    </i>
    <i>
      <x v="2"/>
    </i>
    <i t="grand">
      <x/>
    </i>
  </rowItems>
  <colItems count="1">
    <i/>
  </colItems>
  <dataFields count="1">
    <dataField name="Sum of Sales_Amount" fld="8" baseField="0" baseItem="0"/>
  </dataFields>
  <formats count="2">
    <format dxfId="1">
      <pivotArea collapsedLevelsAreSubtotals="1" fieldPosition="0">
        <references count="1">
          <reference field="4" count="0"/>
        </references>
      </pivotArea>
    </format>
    <format dxfId="0">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7F9FA-121D-4658-B3F6-7EFB9D2B3E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T17" firstHeaderRow="1" firstDataRow="1" firstDataCol="1"/>
  <pivotFields count="10">
    <pivotField showAll="0"/>
    <pivotField showAll="0"/>
    <pivotField showAll="0"/>
    <pivotField showAll="0">
      <items count="5">
        <item x="0"/>
        <item x="1"/>
        <item x="3"/>
        <item x="2"/>
        <item t="default"/>
      </items>
    </pivotField>
    <pivotField showAll="0">
      <items count="4">
        <item x="1"/>
        <item x="0"/>
        <item x="2"/>
        <item t="default"/>
      </items>
    </pivotField>
    <pivotField axis="axisRow" showAll="0">
      <items count="16">
        <item x="2"/>
        <item x="5"/>
        <item x="14"/>
        <item x="3"/>
        <item x="0"/>
        <item x="8"/>
        <item x="10"/>
        <item x="12"/>
        <item x="11"/>
        <item x="9"/>
        <item x="4"/>
        <item x="6"/>
        <item x="1"/>
        <item x="13"/>
        <item x="7"/>
        <item t="default"/>
      </items>
    </pivotField>
    <pivotField showAll="0"/>
    <pivotField showAll="0"/>
    <pivotField dataField="1" showAll="0"/>
    <pivotField showAll="0">
      <items count="7">
        <item x="3"/>
        <item x="2"/>
        <item x="1"/>
        <item x="5"/>
        <item x="0"/>
        <item x="4"/>
        <item t="default"/>
      </items>
    </pivotField>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Sales_Amount" fld="8" baseField="0" baseItem="0"/>
  </dataFields>
  <formats count="1">
    <format dxfId="2">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AC5C66-DEA8-4D6F-9C2A-79F4F0C0A0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N8" firstHeaderRow="1" firstDataRow="1" firstDataCol="1"/>
  <pivotFields count="10">
    <pivotField showAll="0"/>
    <pivotField showAll="0"/>
    <pivotField showAll="0"/>
    <pivotField showAll="0">
      <items count="5">
        <item x="0"/>
        <item x="1"/>
        <item x="3"/>
        <item x="2"/>
        <item t="default"/>
      </items>
    </pivotField>
    <pivotField showAll="0">
      <items count="4">
        <item x="1"/>
        <item x="0"/>
        <item x="2"/>
        <item t="default"/>
      </items>
    </pivotField>
    <pivotField showAll="0"/>
    <pivotField showAll="0"/>
    <pivotField showAll="0"/>
    <pivotField dataField="1" showAll="0"/>
    <pivotField axis="axisRow" showAll="0">
      <items count="7">
        <item x="3"/>
        <item x="2"/>
        <item x="1"/>
        <item x="5"/>
        <item x="0"/>
        <item x="4"/>
        <item t="default"/>
      </items>
    </pivotField>
  </pivotFields>
  <rowFields count="1">
    <field x="9"/>
  </rowFields>
  <rowItems count="7">
    <i>
      <x/>
    </i>
    <i>
      <x v="1"/>
    </i>
    <i>
      <x v="2"/>
    </i>
    <i>
      <x v="3"/>
    </i>
    <i>
      <x v="4"/>
    </i>
    <i>
      <x v="5"/>
    </i>
    <i t="grand">
      <x/>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E7E3AD-592F-45AC-BBD1-92E20C0CB6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H1:AI8" firstHeaderRow="1" firstDataRow="1" firstDataCol="1"/>
  <pivotFields count="10">
    <pivotField dataField="1" showAll="0"/>
    <pivotField showAll="0"/>
    <pivotField showAll="0"/>
    <pivotField showAll="0">
      <items count="5">
        <item x="0"/>
        <item x="1"/>
        <item x="3"/>
        <item x="2"/>
        <item t="default"/>
      </items>
    </pivotField>
    <pivotField showAll="0">
      <items count="4">
        <item x="1"/>
        <item x="0"/>
        <item x="2"/>
        <item t="default"/>
      </items>
    </pivotField>
    <pivotField showAll="0"/>
    <pivotField showAll="0"/>
    <pivotField showAll="0"/>
    <pivotField showAll="0"/>
    <pivotField axis="axisRow" showAll="0">
      <items count="7">
        <item x="3"/>
        <item x="2"/>
        <item x="1"/>
        <item x="5"/>
        <item x="0"/>
        <item x="4"/>
        <item t="default"/>
      </items>
    </pivotField>
  </pivotFields>
  <rowFields count="1">
    <field x="9"/>
  </rowFields>
  <rowItems count="7">
    <i>
      <x/>
    </i>
    <i>
      <x v="1"/>
    </i>
    <i>
      <x v="2"/>
    </i>
    <i>
      <x v="3"/>
    </i>
    <i>
      <x v="4"/>
    </i>
    <i>
      <x v="5"/>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F02E1E-9A36-4610-974E-C8ED6AACE9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C1:AD6" firstHeaderRow="1" firstDataRow="1" firstDataCol="1"/>
  <pivotFields count="10">
    <pivotField showAll="0"/>
    <pivotField showAll="0"/>
    <pivotField showAll="0"/>
    <pivotField axis="axisRow" showAll="0">
      <items count="5">
        <item x="0"/>
        <item x="1"/>
        <item x="3"/>
        <item x="2"/>
        <item t="default"/>
      </items>
    </pivotField>
    <pivotField showAll="0">
      <items count="4">
        <item x="1"/>
        <item x="0"/>
        <item x="2"/>
        <item t="default"/>
      </items>
    </pivotField>
    <pivotField showAll="0"/>
    <pivotField showAll="0"/>
    <pivotField showAll="0"/>
    <pivotField dataField="1" showAll="0"/>
    <pivotField showAll="0">
      <items count="7">
        <item x="3"/>
        <item x="2"/>
        <item x="1"/>
        <item x="5"/>
        <item x="0"/>
        <item x="4"/>
        <item t="default"/>
      </items>
    </pivotField>
  </pivotFields>
  <rowFields count="1">
    <field x="3"/>
  </rowFields>
  <rowItems count="5">
    <i>
      <x/>
    </i>
    <i>
      <x v="1"/>
    </i>
    <i>
      <x v="2"/>
    </i>
    <i>
      <x v="3"/>
    </i>
    <i t="grand">
      <x/>
    </i>
  </rowItems>
  <colItems count="1">
    <i/>
  </colItems>
  <dataFields count="1">
    <dataField name="Sum of Sales_Amount" fld="8" baseField="0" baseItem="0"/>
  </dataFields>
  <formats count="2">
    <format dxfId="4">
      <pivotArea collapsedLevelsAreSubtotals="1" fieldPosition="0">
        <references count="1">
          <reference field="3" count="0"/>
        </references>
      </pivotArea>
    </format>
    <format dxfId="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6356C1-2B69-4CC9-AA0B-C176A805C620}" sourceName="Region">
  <pivotTables>
    <pivotTable tabId="1" name="PivotTable3"/>
    <pivotTable tabId="1" name="PivotTable1"/>
    <pivotTable tabId="1" name="PivotTable2"/>
    <pivotTable tabId="1" name="PivotTable4"/>
    <pivotTable tabId="1" name="PivotTable5"/>
  </pivotTables>
  <data>
    <tabular pivotCacheId="1318303922">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5A06F4-69CB-45DA-B014-7304F2803A1F}" sourceName="Category">
  <pivotTables>
    <pivotTable tabId="1" name="PivotTable3"/>
    <pivotTable tabId="1" name="PivotTable1"/>
    <pivotTable tabId="1" name="PivotTable2"/>
    <pivotTable tabId="1" name="PivotTable4"/>
    <pivotTable tabId="1" name="PivotTable5"/>
  </pivotTables>
  <data>
    <tabular pivotCacheId="131830392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39D0D15-F0EC-4B2A-8859-AD1290C086E0}" sourceName="Month">
  <pivotTables>
    <pivotTable tabId="1" name="PivotTable3"/>
    <pivotTable tabId="1" name="PivotTable1"/>
    <pivotTable tabId="1" name="PivotTable2"/>
    <pivotTable tabId="1" name="PivotTable4"/>
    <pivotTable tabId="1" name="PivotTable5"/>
  </pivotTables>
  <data>
    <tabular pivotCacheId="1318303922">
      <items count="6">
        <i x="3" s="1"/>
        <i x="2" s="1"/>
        <i x="1" s="1"/>
        <i x="5"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35F277-4907-4FA6-86D9-4458FE214C5B}" cache="Slicer_Region" caption="Region" rowHeight="241300"/>
  <slicer name="Category" xr10:uid="{E7EB5BF7-51EF-49B5-B27A-14D427254244}" cache="Slicer_Category" caption="Category" rowHeight="241300"/>
  <slicer name="Month" xr10:uid="{4C650EEC-1033-453B-BDE7-E5E9E7B53BB9}"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49011BE-5031-4FF6-9E32-5ED2359BDB52}" cache="Slicer_Region" caption="Region" style="SlicerStyleDark5" rowHeight="288000"/>
  <slicer name="Category 1" xr10:uid="{EEBA76D1-A620-4963-902A-086AD5F60535}" cache="Slicer_Category" caption="Category" style="SlicerStyleDark5" rowHeight="288000"/>
  <slicer name="Month 1" xr10:uid="{4C24A150-F564-4313-A4A7-AA5EA23428C1}" cache="Slicer_Month" caption="Month" style="SlicerStyleDark5"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01"/>
  <sheetViews>
    <sheetView topLeftCell="A18" workbookViewId="0">
      <selection activeCell="M29" sqref="M29"/>
    </sheetView>
  </sheetViews>
  <sheetFormatPr defaultColWidth="14.42578125" defaultRowHeight="15" customHeight="1" x14ac:dyDescent="0.25"/>
  <cols>
    <col min="1" max="2" width="14.85546875" style="1" customWidth="1"/>
    <col min="3" max="3" width="16.7109375" style="1" customWidth="1"/>
    <col min="4" max="10" width="14.85546875" style="1" customWidth="1"/>
    <col min="11" max="11" width="8.7109375" customWidth="1"/>
    <col min="13" max="13" width="13.140625" bestFit="1" customWidth="1"/>
    <col min="14" max="14" width="20.5703125" bestFit="1" customWidth="1"/>
    <col min="19" max="19" width="13.140625" bestFit="1" customWidth="1"/>
    <col min="20" max="20" width="20.5703125" bestFit="1" customWidth="1"/>
    <col min="24" max="24" width="13.140625" bestFit="1" customWidth="1"/>
    <col min="25" max="25" width="20.5703125" bestFit="1" customWidth="1"/>
    <col min="29" max="29" width="13.140625" bestFit="1" customWidth="1"/>
    <col min="30" max="30" width="20.5703125" bestFit="1" customWidth="1"/>
    <col min="34" max="34" width="13.140625" bestFit="1" customWidth="1"/>
    <col min="35" max="36" width="17.28515625" bestFit="1" customWidth="1"/>
  </cols>
  <sheetData>
    <row r="1" spans="1:35" ht="21.75" customHeight="1" x14ac:dyDescent="0.25">
      <c r="A1" s="2" t="s">
        <v>0</v>
      </c>
      <c r="B1" s="2" t="s">
        <v>1</v>
      </c>
      <c r="C1" s="2" t="s">
        <v>2</v>
      </c>
      <c r="D1" s="2" t="s">
        <v>3</v>
      </c>
      <c r="E1" s="2" t="s">
        <v>4</v>
      </c>
      <c r="F1" s="2" t="s">
        <v>5</v>
      </c>
      <c r="G1" s="2" t="s">
        <v>6</v>
      </c>
      <c r="H1" s="2" t="s">
        <v>7</v>
      </c>
      <c r="I1" s="2" t="s">
        <v>8</v>
      </c>
      <c r="J1" s="2" t="s">
        <v>9</v>
      </c>
      <c r="M1" s="4" t="s">
        <v>369</v>
      </c>
      <c r="N1" t="s">
        <v>371</v>
      </c>
      <c r="S1" s="4" t="s">
        <v>369</v>
      </c>
      <c r="T1" t="s">
        <v>371</v>
      </c>
      <c r="X1" s="4" t="s">
        <v>369</v>
      </c>
      <c r="Y1" t="s">
        <v>371</v>
      </c>
      <c r="AC1" s="4" t="s">
        <v>369</v>
      </c>
      <c r="AD1" t="s">
        <v>371</v>
      </c>
      <c r="AH1" s="4" t="s">
        <v>369</v>
      </c>
      <c r="AI1" t="s">
        <v>372</v>
      </c>
    </row>
    <row r="2" spans="1:35" ht="21.75" customHeight="1" x14ac:dyDescent="0.25">
      <c r="A2" s="3" t="s">
        <v>10</v>
      </c>
      <c r="B2" s="3" t="s">
        <v>11</v>
      </c>
      <c r="C2" s="3" t="s">
        <v>12</v>
      </c>
      <c r="D2" s="3" t="s">
        <v>13</v>
      </c>
      <c r="E2" s="3" t="s">
        <v>14</v>
      </c>
      <c r="F2" s="3" t="s">
        <v>15</v>
      </c>
      <c r="G2" s="3">
        <v>3</v>
      </c>
      <c r="H2" s="3">
        <v>1200</v>
      </c>
      <c r="I2" s="3">
        <v>3600</v>
      </c>
      <c r="J2" s="3" t="s">
        <v>16</v>
      </c>
      <c r="M2" s="5" t="s">
        <v>53</v>
      </c>
      <c r="N2">
        <v>122400</v>
      </c>
      <c r="S2" s="5" t="s">
        <v>28</v>
      </c>
      <c r="T2" s="6">
        <v>12000</v>
      </c>
      <c r="X2" s="5" t="s">
        <v>20</v>
      </c>
      <c r="Y2" s="7">
        <v>372100</v>
      </c>
      <c r="AC2" s="5" t="s">
        <v>13</v>
      </c>
      <c r="AD2" s="7">
        <v>254200</v>
      </c>
      <c r="AH2" s="5" t="s">
        <v>53</v>
      </c>
      <c r="AI2">
        <v>23</v>
      </c>
    </row>
    <row r="3" spans="1:35" ht="21.75" customHeight="1" x14ac:dyDescent="0.25">
      <c r="A3" s="3" t="s">
        <v>17</v>
      </c>
      <c r="B3" s="3" t="s">
        <v>18</v>
      </c>
      <c r="C3" s="3" t="s">
        <v>19</v>
      </c>
      <c r="D3" s="3" t="s">
        <v>13</v>
      </c>
      <c r="E3" s="3" t="s">
        <v>20</v>
      </c>
      <c r="F3" s="3" t="s">
        <v>21</v>
      </c>
      <c r="G3" s="3">
        <v>5</v>
      </c>
      <c r="H3" s="3">
        <v>3500</v>
      </c>
      <c r="I3" s="3">
        <v>17500</v>
      </c>
      <c r="J3" s="3" t="s">
        <v>22</v>
      </c>
      <c r="M3" s="5" t="s">
        <v>29</v>
      </c>
      <c r="N3">
        <v>199800</v>
      </c>
      <c r="S3" s="5" t="s">
        <v>42</v>
      </c>
      <c r="T3" s="6">
        <v>102000</v>
      </c>
      <c r="X3" s="5" t="s">
        <v>14</v>
      </c>
      <c r="Y3" s="7">
        <v>253600</v>
      </c>
      <c r="AC3" s="5" t="s">
        <v>26</v>
      </c>
      <c r="AD3" s="7">
        <v>332500</v>
      </c>
      <c r="AH3" s="5" t="s">
        <v>29</v>
      </c>
      <c r="AI3">
        <v>34</v>
      </c>
    </row>
    <row r="4" spans="1:35" ht="21.75" customHeight="1" x14ac:dyDescent="0.25">
      <c r="A4" s="3" t="s">
        <v>23</v>
      </c>
      <c r="B4" s="3" t="s">
        <v>24</v>
      </c>
      <c r="C4" s="3" t="s">
        <v>25</v>
      </c>
      <c r="D4" s="3" t="s">
        <v>26</v>
      </c>
      <c r="E4" s="3" t="s">
        <v>27</v>
      </c>
      <c r="F4" s="3" t="s">
        <v>28</v>
      </c>
      <c r="G4" s="3">
        <v>4</v>
      </c>
      <c r="H4" s="3">
        <v>300</v>
      </c>
      <c r="I4" s="3">
        <v>1200</v>
      </c>
      <c r="J4" s="3" t="s">
        <v>29</v>
      </c>
      <c r="M4" s="5" t="s">
        <v>22</v>
      </c>
      <c r="N4">
        <v>210500</v>
      </c>
      <c r="S4" s="5" t="s">
        <v>112</v>
      </c>
      <c r="T4" s="6">
        <v>33600</v>
      </c>
      <c r="X4" s="5" t="s">
        <v>27</v>
      </c>
      <c r="Y4" s="7">
        <v>429100</v>
      </c>
      <c r="AC4" s="5" t="s">
        <v>49</v>
      </c>
      <c r="AD4" s="7">
        <v>267300</v>
      </c>
      <c r="AH4" s="5" t="s">
        <v>22</v>
      </c>
      <c r="AI4">
        <v>41</v>
      </c>
    </row>
    <row r="5" spans="1:35" ht="21.75" customHeight="1" x14ac:dyDescent="0.25">
      <c r="A5" s="3" t="s">
        <v>30</v>
      </c>
      <c r="B5" s="3" t="s">
        <v>31</v>
      </c>
      <c r="C5" s="3" t="s">
        <v>32</v>
      </c>
      <c r="D5" s="3" t="s">
        <v>26</v>
      </c>
      <c r="E5" s="3" t="s">
        <v>14</v>
      </c>
      <c r="F5" s="3" t="s">
        <v>33</v>
      </c>
      <c r="G5" s="3">
        <v>4</v>
      </c>
      <c r="H5" s="3">
        <v>2500</v>
      </c>
      <c r="I5" s="3">
        <v>10000</v>
      </c>
      <c r="J5" s="3" t="s">
        <v>22</v>
      </c>
      <c r="M5" s="5" t="s">
        <v>115</v>
      </c>
      <c r="N5">
        <v>149800</v>
      </c>
      <c r="S5" s="5" t="s">
        <v>33</v>
      </c>
      <c r="T5" s="6">
        <v>87500</v>
      </c>
      <c r="X5" s="5" t="s">
        <v>370</v>
      </c>
      <c r="Y5" s="7">
        <v>1054800</v>
      </c>
      <c r="AC5" s="5" t="s">
        <v>38</v>
      </c>
      <c r="AD5" s="7">
        <v>200800</v>
      </c>
      <c r="AH5" s="5" t="s">
        <v>115</v>
      </c>
      <c r="AI5">
        <v>31</v>
      </c>
    </row>
    <row r="6" spans="1:35" ht="21.75" customHeight="1" x14ac:dyDescent="0.25">
      <c r="A6" s="3" t="s">
        <v>34</v>
      </c>
      <c r="B6" s="3" t="s">
        <v>35</v>
      </c>
      <c r="C6" s="3" t="s">
        <v>19</v>
      </c>
      <c r="D6" s="3" t="s">
        <v>13</v>
      </c>
      <c r="E6" s="3" t="s">
        <v>20</v>
      </c>
      <c r="F6" s="3" t="s">
        <v>21</v>
      </c>
      <c r="G6" s="3">
        <v>5</v>
      </c>
      <c r="H6" s="3">
        <v>3500</v>
      </c>
      <c r="I6" s="3">
        <v>17500</v>
      </c>
      <c r="J6" s="3" t="s">
        <v>16</v>
      </c>
      <c r="M6" s="5" t="s">
        <v>16</v>
      </c>
      <c r="N6">
        <v>198900</v>
      </c>
      <c r="S6" s="5" t="s">
        <v>15</v>
      </c>
      <c r="T6" s="6">
        <v>37200</v>
      </c>
      <c r="AC6" s="5" t="s">
        <v>370</v>
      </c>
      <c r="AD6" s="7">
        <v>1054800</v>
      </c>
      <c r="AH6" s="5" t="s">
        <v>16</v>
      </c>
      <c r="AI6">
        <v>39</v>
      </c>
    </row>
    <row r="7" spans="1:35" ht="21.75" customHeight="1" x14ac:dyDescent="0.25">
      <c r="A7" s="3" t="s">
        <v>36</v>
      </c>
      <c r="B7" s="3" t="s">
        <v>37</v>
      </c>
      <c r="C7" s="3" t="s">
        <v>25</v>
      </c>
      <c r="D7" s="3" t="s">
        <v>38</v>
      </c>
      <c r="E7" s="3" t="s">
        <v>20</v>
      </c>
      <c r="F7" s="3" t="s">
        <v>39</v>
      </c>
      <c r="G7" s="3">
        <v>5</v>
      </c>
      <c r="H7" s="3">
        <v>600</v>
      </c>
      <c r="I7" s="3">
        <v>3000</v>
      </c>
      <c r="J7" s="3" t="s">
        <v>22</v>
      </c>
      <c r="M7" s="5" t="s">
        <v>65</v>
      </c>
      <c r="N7">
        <v>173400</v>
      </c>
      <c r="S7" s="5" t="s">
        <v>75</v>
      </c>
      <c r="T7" s="6">
        <v>43200</v>
      </c>
      <c r="AH7" s="5" t="s">
        <v>65</v>
      </c>
      <c r="AI7">
        <v>32</v>
      </c>
    </row>
    <row r="8" spans="1:35" ht="21.75" customHeight="1" x14ac:dyDescent="0.25">
      <c r="A8" s="3" t="s">
        <v>40</v>
      </c>
      <c r="B8" s="3" t="s">
        <v>41</v>
      </c>
      <c r="C8" s="3" t="s">
        <v>32</v>
      </c>
      <c r="D8" s="3" t="s">
        <v>13</v>
      </c>
      <c r="E8" s="3" t="s">
        <v>27</v>
      </c>
      <c r="F8" s="3" t="s">
        <v>42</v>
      </c>
      <c r="G8" s="3">
        <v>5</v>
      </c>
      <c r="H8" s="3">
        <v>3000</v>
      </c>
      <c r="I8" s="3">
        <v>15000</v>
      </c>
      <c r="J8" s="3" t="s">
        <v>29</v>
      </c>
      <c r="M8" s="5" t="s">
        <v>370</v>
      </c>
      <c r="N8">
        <v>1054800</v>
      </c>
      <c r="S8" s="5" t="s">
        <v>84</v>
      </c>
      <c r="T8" s="6">
        <v>27900</v>
      </c>
      <c r="AH8" s="5" t="s">
        <v>370</v>
      </c>
      <c r="AI8">
        <v>200</v>
      </c>
    </row>
    <row r="9" spans="1:35" ht="21.75" customHeight="1" x14ac:dyDescent="0.25">
      <c r="A9" s="3" t="s">
        <v>43</v>
      </c>
      <c r="B9" s="3" t="s">
        <v>44</v>
      </c>
      <c r="C9" s="3" t="s">
        <v>45</v>
      </c>
      <c r="D9" s="3" t="s">
        <v>38</v>
      </c>
      <c r="E9" s="3" t="s">
        <v>20</v>
      </c>
      <c r="F9" s="3" t="s">
        <v>39</v>
      </c>
      <c r="G9" s="3">
        <v>3</v>
      </c>
      <c r="H9" s="3">
        <v>600</v>
      </c>
      <c r="I9" s="3">
        <v>1800</v>
      </c>
      <c r="J9" s="3" t="s">
        <v>22</v>
      </c>
      <c r="S9" s="5" t="s">
        <v>97</v>
      </c>
      <c r="T9" s="6">
        <v>31500</v>
      </c>
    </row>
    <row r="10" spans="1:35" ht="21.75" customHeight="1" x14ac:dyDescent="0.25">
      <c r="A10" s="3" t="s">
        <v>46</v>
      </c>
      <c r="B10" s="3" t="s">
        <v>47</v>
      </c>
      <c r="C10" s="3" t="s">
        <v>48</v>
      </c>
      <c r="D10" s="3" t="s">
        <v>49</v>
      </c>
      <c r="E10" s="3" t="s">
        <v>27</v>
      </c>
      <c r="F10" s="3" t="s">
        <v>42</v>
      </c>
      <c r="G10" s="3">
        <v>4</v>
      </c>
      <c r="H10" s="3">
        <v>3000</v>
      </c>
      <c r="I10" s="3">
        <v>12000</v>
      </c>
      <c r="J10" s="3" t="s">
        <v>16</v>
      </c>
      <c r="S10" s="5" t="s">
        <v>92</v>
      </c>
      <c r="T10" s="6">
        <v>34500</v>
      </c>
    </row>
    <row r="11" spans="1:35" ht="21.75" customHeight="1" x14ac:dyDescent="0.25">
      <c r="A11" s="3" t="s">
        <v>50</v>
      </c>
      <c r="B11" s="3" t="s">
        <v>51</v>
      </c>
      <c r="C11" s="3" t="s">
        <v>52</v>
      </c>
      <c r="D11" s="3" t="s">
        <v>13</v>
      </c>
      <c r="E11" s="3" t="s">
        <v>27</v>
      </c>
      <c r="F11" s="3" t="s">
        <v>42</v>
      </c>
      <c r="G11" s="3">
        <v>4</v>
      </c>
      <c r="H11" s="3">
        <v>3000</v>
      </c>
      <c r="I11" s="3">
        <v>12000</v>
      </c>
      <c r="J11" s="3" t="s">
        <v>53</v>
      </c>
      <c r="S11" s="5" t="s">
        <v>78</v>
      </c>
      <c r="T11" s="6">
        <v>94600</v>
      </c>
    </row>
    <row r="12" spans="1:35" ht="21.75" customHeight="1" x14ac:dyDescent="0.25">
      <c r="A12" s="3" t="s">
        <v>54</v>
      </c>
      <c r="B12" s="3" t="s">
        <v>55</v>
      </c>
      <c r="C12" s="3" t="s">
        <v>56</v>
      </c>
      <c r="D12" s="3" t="s">
        <v>26</v>
      </c>
      <c r="E12" s="3" t="s">
        <v>14</v>
      </c>
      <c r="F12" s="3" t="s">
        <v>57</v>
      </c>
      <c r="G12" s="3">
        <v>3</v>
      </c>
      <c r="H12" s="3">
        <v>1800</v>
      </c>
      <c r="I12" s="3">
        <v>5400</v>
      </c>
      <c r="J12" s="3" t="s">
        <v>53</v>
      </c>
      <c r="S12" s="5" t="s">
        <v>39</v>
      </c>
      <c r="T12" s="6">
        <v>22800</v>
      </c>
    </row>
    <row r="13" spans="1:35" ht="21.75" customHeight="1" x14ac:dyDescent="0.25">
      <c r="A13" s="3" t="s">
        <v>58</v>
      </c>
      <c r="B13" s="3" t="s">
        <v>59</v>
      </c>
      <c r="C13" s="3" t="s">
        <v>60</v>
      </c>
      <c r="D13" s="3" t="s">
        <v>38</v>
      </c>
      <c r="E13" s="3" t="s">
        <v>14</v>
      </c>
      <c r="F13" s="3" t="s">
        <v>57</v>
      </c>
      <c r="G13" s="3">
        <v>5</v>
      </c>
      <c r="H13" s="3">
        <v>1800</v>
      </c>
      <c r="I13" s="3">
        <v>9000</v>
      </c>
      <c r="J13" s="3" t="s">
        <v>16</v>
      </c>
      <c r="S13" s="5" t="s">
        <v>57</v>
      </c>
      <c r="T13" s="6">
        <v>81000</v>
      </c>
    </row>
    <row r="14" spans="1:35" ht="21.75" customHeight="1" x14ac:dyDescent="0.25">
      <c r="A14" s="3" t="s">
        <v>61</v>
      </c>
      <c r="B14" s="3" t="s">
        <v>62</v>
      </c>
      <c r="C14" s="3" t="s">
        <v>45</v>
      </c>
      <c r="D14" s="3" t="s">
        <v>26</v>
      </c>
      <c r="E14" s="3" t="s">
        <v>20</v>
      </c>
      <c r="F14" s="3" t="s">
        <v>21</v>
      </c>
      <c r="G14" s="3">
        <v>1</v>
      </c>
      <c r="H14" s="3">
        <v>3500</v>
      </c>
      <c r="I14" s="3">
        <v>3500</v>
      </c>
      <c r="J14" s="3" t="s">
        <v>53</v>
      </c>
      <c r="S14" s="5" t="s">
        <v>21</v>
      </c>
      <c r="T14" s="6">
        <v>238000</v>
      </c>
    </row>
    <row r="15" spans="1:35" ht="21.75" customHeight="1" x14ac:dyDescent="0.25">
      <c r="A15" s="3" t="s">
        <v>63</v>
      </c>
      <c r="B15" s="3" t="s">
        <v>64</v>
      </c>
      <c r="C15" s="3" t="s">
        <v>52</v>
      </c>
      <c r="D15" s="3" t="s">
        <v>13</v>
      </c>
      <c r="E15" s="3" t="s">
        <v>27</v>
      </c>
      <c r="F15" s="3" t="s">
        <v>42</v>
      </c>
      <c r="G15" s="3">
        <v>5</v>
      </c>
      <c r="H15" s="3">
        <v>3000</v>
      </c>
      <c r="I15" s="3">
        <v>15000</v>
      </c>
      <c r="J15" s="3" t="s">
        <v>65</v>
      </c>
      <c r="S15" s="5" t="s">
        <v>103</v>
      </c>
      <c r="T15" s="6">
        <v>189000</v>
      </c>
    </row>
    <row r="16" spans="1:35" ht="21.75" customHeight="1" x14ac:dyDescent="0.25">
      <c r="A16" s="3" t="s">
        <v>66</v>
      </c>
      <c r="B16" s="3" t="s">
        <v>67</v>
      </c>
      <c r="C16" s="3" t="s">
        <v>60</v>
      </c>
      <c r="D16" s="3" t="s">
        <v>26</v>
      </c>
      <c r="E16" s="3" t="s">
        <v>14</v>
      </c>
      <c r="F16" s="3" t="s">
        <v>68</v>
      </c>
      <c r="G16" s="3">
        <v>4</v>
      </c>
      <c r="H16" s="3">
        <v>500</v>
      </c>
      <c r="I16" s="3">
        <v>2000</v>
      </c>
      <c r="J16" s="3" t="s">
        <v>22</v>
      </c>
      <c r="S16" s="5" t="s">
        <v>68</v>
      </c>
      <c r="T16" s="6">
        <v>20000</v>
      </c>
    </row>
    <row r="17" spans="1:20" ht="21.75" customHeight="1" x14ac:dyDescent="0.25">
      <c r="A17" s="3" t="s">
        <v>69</v>
      </c>
      <c r="B17" s="3" t="s">
        <v>70</v>
      </c>
      <c r="C17" s="3" t="s">
        <v>56</v>
      </c>
      <c r="D17" s="3" t="s">
        <v>49</v>
      </c>
      <c r="E17" s="3" t="s">
        <v>14</v>
      </c>
      <c r="F17" s="3" t="s">
        <v>15</v>
      </c>
      <c r="G17" s="3">
        <v>1</v>
      </c>
      <c r="H17" s="3">
        <v>1200</v>
      </c>
      <c r="I17" s="3">
        <v>1200</v>
      </c>
      <c r="J17" s="3" t="s">
        <v>53</v>
      </c>
      <c r="S17" s="5" t="s">
        <v>370</v>
      </c>
      <c r="T17">
        <v>1054800</v>
      </c>
    </row>
    <row r="18" spans="1:20" ht="21.75" customHeight="1" x14ac:dyDescent="0.25">
      <c r="A18" s="3" t="s">
        <v>71</v>
      </c>
      <c r="B18" s="3" t="s">
        <v>72</v>
      </c>
      <c r="C18" s="3" t="s">
        <v>32</v>
      </c>
      <c r="D18" s="3" t="s">
        <v>38</v>
      </c>
      <c r="E18" s="3" t="s">
        <v>20</v>
      </c>
      <c r="F18" s="3" t="s">
        <v>21</v>
      </c>
      <c r="G18" s="3">
        <v>4</v>
      </c>
      <c r="H18" s="3">
        <v>3500</v>
      </c>
      <c r="I18" s="3">
        <v>14000</v>
      </c>
      <c r="J18" s="3" t="s">
        <v>65</v>
      </c>
    </row>
    <row r="19" spans="1:20" ht="21.75" customHeight="1" x14ac:dyDescent="0.25">
      <c r="A19" s="3" t="s">
        <v>73</v>
      </c>
      <c r="B19" s="3" t="s">
        <v>74</v>
      </c>
      <c r="C19" s="3" t="s">
        <v>32</v>
      </c>
      <c r="D19" s="3" t="s">
        <v>13</v>
      </c>
      <c r="E19" s="3" t="s">
        <v>20</v>
      </c>
      <c r="F19" s="3" t="s">
        <v>75</v>
      </c>
      <c r="G19" s="3">
        <v>4</v>
      </c>
      <c r="H19" s="3">
        <v>800</v>
      </c>
      <c r="I19" s="3">
        <v>3200</v>
      </c>
      <c r="J19" s="3" t="s">
        <v>22</v>
      </c>
    </row>
    <row r="20" spans="1:20" ht="21.75" customHeight="1" x14ac:dyDescent="0.25">
      <c r="A20" s="3" t="s">
        <v>76</v>
      </c>
      <c r="B20" s="3" t="s">
        <v>77</v>
      </c>
      <c r="C20" s="3" t="s">
        <v>25</v>
      </c>
      <c r="D20" s="3" t="s">
        <v>26</v>
      </c>
      <c r="E20" s="3" t="s">
        <v>27</v>
      </c>
      <c r="F20" s="3" t="s">
        <v>78</v>
      </c>
      <c r="G20" s="3">
        <v>5</v>
      </c>
      <c r="H20" s="3">
        <v>2200</v>
      </c>
      <c r="I20" s="3">
        <v>11000</v>
      </c>
      <c r="J20" s="3" t="s">
        <v>53</v>
      </c>
    </row>
    <row r="21" spans="1:20" ht="21.75" customHeight="1" x14ac:dyDescent="0.25">
      <c r="A21" s="3" t="s">
        <v>79</v>
      </c>
      <c r="B21" s="3" t="s">
        <v>80</v>
      </c>
      <c r="C21" s="3" t="s">
        <v>81</v>
      </c>
      <c r="D21" s="3" t="s">
        <v>38</v>
      </c>
      <c r="E21" s="3" t="s">
        <v>20</v>
      </c>
      <c r="F21" s="3" t="s">
        <v>21</v>
      </c>
      <c r="G21" s="3">
        <v>4</v>
      </c>
      <c r="H21" s="3">
        <v>3500</v>
      </c>
      <c r="I21" s="3">
        <v>14000</v>
      </c>
      <c r="J21" s="3" t="s">
        <v>22</v>
      </c>
    </row>
    <row r="22" spans="1:20" ht="21.75" customHeight="1" x14ac:dyDescent="0.25">
      <c r="A22" s="3" t="s">
        <v>82</v>
      </c>
      <c r="B22" s="3" t="s">
        <v>83</v>
      </c>
      <c r="C22" s="3" t="s">
        <v>32</v>
      </c>
      <c r="D22" s="3" t="s">
        <v>49</v>
      </c>
      <c r="E22" s="3" t="s">
        <v>14</v>
      </c>
      <c r="F22" s="3" t="s">
        <v>84</v>
      </c>
      <c r="G22" s="3">
        <v>1</v>
      </c>
      <c r="H22" s="3">
        <v>900</v>
      </c>
      <c r="I22" s="3">
        <v>900</v>
      </c>
      <c r="J22" s="3" t="s">
        <v>22</v>
      </c>
      <c r="M22" s="7">
        <f>SUM(I2:I201)</f>
        <v>1054800</v>
      </c>
    </row>
    <row r="23" spans="1:20" ht="21.75" customHeight="1" x14ac:dyDescent="0.25">
      <c r="A23" s="3" t="s">
        <v>85</v>
      </c>
      <c r="B23" s="3" t="s">
        <v>86</v>
      </c>
      <c r="C23" s="3" t="s">
        <v>56</v>
      </c>
      <c r="D23" s="3" t="s">
        <v>13</v>
      </c>
      <c r="E23" s="3" t="s">
        <v>14</v>
      </c>
      <c r="F23" s="3" t="s">
        <v>84</v>
      </c>
      <c r="G23" s="3">
        <v>2</v>
      </c>
      <c r="H23" s="3">
        <v>900</v>
      </c>
      <c r="I23" s="3">
        <v>1800</v>
      </c>
      <c r="J23" s="3" t="s">
        <v>16</v>
      </c>
      <c r="M23">
        <f>COUNTA(A2:A201)</f>
        <v>200</v>
      </c>
    </row>
    <row r="24" spans="1:20" ht="21.75" customHeight="1" x14ac:dyDescent="0.25">
      <c r="A24" s="3" t="s">
        <v>87</v>
      </c>
      <c r="B24" s="3" t="s">
        <v>41</v>
      </c>
      <c r="C24" s="3" t="s">
        <v>60</v>
      </c>
      <c r="D24" s="3" t="s">
        <v>26</v>
      </c>
      <c r="E24" s="3" t="s">
        <v>27</v>
      </c>
      <c r="F24" s="3" t="s">
        <v>28</v>
      </c>
      <c r="G24" s="3">
        <v>4</v>
      </c>
      <c r="H24" s="3">
        <v>300</v>
      </c>
      <c r="I24" s="3">
        <v>1200</v>
      </c>
      <c r="J24" s="3" t="s">
        <v>29</v>
      </c>
    </row>
    <row r="25" spans="1:20" ht="21.75" customHeight="1" x14ac:dyDescent="0.25">
      <c r="A25" s="3" t="s">
        <v>88</v>
      </c>
      <c r="B25" s="3" t="s">
        <v>89</v>
      </c>
      <c r="C25" s="3" t="s">
        <v>19</v>
      </c>
      <c r="D25" s="3" t="s">
        <v>49</v>
      </c>
      <c r="E25" s="3" t="s">
        <v>14</v>
      </c>
      <c r="F25" s="3" t="s">
        <v>68</v>
      </c>
      <c r="G25" s="3">
        <v>2</v>
      </c>
      <c r="H25" s="3">
        <v>500</v>
      </c>
      <c r="I25" s="3">
        <v>1000</v>
      </c>
      <c r="J25" s="3" t="s">
        <v>16</v>
      </c>
      <c r="M25">
        <f>M22*M23</f>
        <v>210960000</v>
      </c>
    </row>
    <row r="26" spans="1:20" ht="21.75" customHeight="1" x14ac:dyDescent="0.25">
      <c r="A26" s="3" t="s">
        <v>90</v>
      </c>
      <c r="B26" s="3" t="s">
        <v>91</v>
      </c>
      <c r="C26" s="3" t="s">
        <v>56</v>
      </c>
      <c r="D26" s="3" t="s">
        <v>38</v>
      </c>
      <c r="E26" s="3" t="s">
        <v>20</v>
      </c>
      <c r="F26" s="3" t="s">
        <v>92</v>
      </c>
      <c r="G26" s="3">
        <v>1</v>
      </c>
      <c r="H26" s="3">
        <v>1500</v>
      </c>
      <c r="I26" s="3">
        <v>1500</v>
      </c>
      <c r="J26" s="3" t="s">
        <v>29</v>
      </c>
      <c r="M26" s="7">
        <f>AVERAGE(M22,M23)</f>
        <v>527500</v>
      </c>
    </row>
    <row r="27" spans="1:20" ht="21.75" customHeight="1" x14ac:dyDescent="0.25">
      <c r="A27" s="3" t="s">
        <v>93</v>
      </c>
      <c r="B27" s="3" t="s">
        <v>94</v>
      </c>
      <c r="C27" s="3" t="s">
        <v>25</v>
      </c>
      <c r="D27" s="3" t="s">
        <v>26</v>
      </c>
      <c r="E27" s="3" t="s">
        <v>14</v>
      </c>
      <c r="F27" s="3" t="s">
        <v>15</v>
      </c>
      <c r="G27" s="3">
        <v>4</v>
      </c>
      <c r="H27" s="3">
        <v>1200</v>
      </c>
      <c r="I27" s="3">
        <v>4800</v>
      </c>
      <c r="J27" s="3" t="s">
        <v>65</v>
      </c>
    </row>
    <row r="28" spans="1:20" ht="21.75" customHeight="1" x14ac:dyDescent="0.25">
      <c r="A28" s="3" t="s">
        <v>95</v>
      </c>
      <c r="B28" s="3" t="s">
        <v>62</v>
      </c>
      <c r="C28" s="3" t="s">
        <v>56</v>
      </c>
      <c r="D28" s="3" t="s">
        <v>13</v>
      </c>
      <c r="E28" s="3" t="s">
        <v>14</v>
      </c>
      <c r="F28" s="3" t="s">
        <v>68</v>
      </c>
      <c r="G28" s="3">
        <v>5</v>
      </c>
      <c r="H28" s="3">
        <v>500</v>
      </c>
      <c r="I28" s="3">
        <v>2500</v>
      </c>
      <c r="J28" s="3" t="s">
        <v>53</v>
      </c>
      <c r="M28">
        <f>SUM(G2:G201)</f>
        <v>597</v>
      </c>
    </row>
    <row r="29" spans="1:20" ht="21.75" customHeight="1" x14ac:dyDescent="0.25">
      <c r="A29" s="3" t="s">
        <v>96</v>
      </c>
      <c r="B29" s="3" t="s">
        <v>83</v>
      </c>
      <c r="C29" s="3" t="s">
        <v>81</v>
      </c>
      <c r="D29" s="3" t="s">
        <v>49</v>
      </c>
      <c r="E29" s="3" t="s">
        <v>27</v>
      </c>
      <c r="F29" s="3" t="s">
        <v>97</v>
      </c>
      <c r="G29" s="3">
        <v>4</v>
      </c>
      <c r="H29" s="3">
        <v>700</v>
      </c>
      <c r="I29" s="3">
        <v>2800</v>
      </c>
      <c r="J29" s="3" t="s">
        <v>22</v>
      </c>
    </row>
    <row r="30" spans="1:20" ht="21.75" customHeight="1" x14ac:dyDescent="0.25">
      <c r="A30" s="3" t="s">
        <v>98</v>
      </c>
      <c r="B30" s="3" t="s">
        <v>99</v>
      </c>
      <c r="C30" s="3" t="s">
        <v>52</v>
      </c>
      <c r="D30" s="3" t="s">
        <v>38</v>
      </c>
      <c r="E30" s="3" t="s">
        <v>20</v>
      </c>
      <c r="F30" s="3" t="s">
        <v>92</v>
      </c>
      <c r="G30" s="3">
        <v>2</v>
      </c>
      <c r="H30" s="3">
        <v>1500</v>
      </c>
      <c r="I30" s="3">
        <v>3000</v>
      </c>
      <c r="J30" s="3" t="s">
        <v>29</v>
      </c>
    </row>
    <row r="31" spans="1:20" ht="21.75" customHeight="1" x14ac:dyDescent="0.25">
      <c r="A31" s="3" t="s">
        <v>100</v>
      </c>
      <c r="B31" s="3" t="s">
        <v>101</v>
      </c>
      <c r="C31" s="3" t="s">
        <v>60</v>
      </c>
      <c r="D31" s="3" t="s">
        <v>13</v>
      </c>
      <c r="E31" s="3" t="s">
        <v>20</v>
      </c>
      <c r="F31" s="3" t="s">
        <v>75</v>
      </c>
      <c r="G31" s="3">
        <v>3</v>
      </c>
      <c r="H31" s="3">
        <v>800</v>
      </c>
      <c r="I31" s="3">
        <v>2400</v>
      </c>
      <c r="J31" s="3" t="s">
        <v>16</v>
      </c>
    </row>
    <row r="32" spans="1:20" ht="21.75" customHeight="1" x14ac:dyDescent="0.25">
      <c r="A32" s="3" t="s">
        <v>102</v>
      </c>
      <c r="B32" s="3" t="s">
        <v>94</v>
      </c>
      <c r="C32" s="3" t="s">
        <v>81</v>
      </c>
      <c r="D32" s="3" t="s">
        <v>26</v>
      </c>
      <c r="E32" s="3" t="s">
        <v>27</v>
      </c>
      <c r="F32" s="3" t="s">
        <v>103</v>
      </c>
      <c r="G32" s="3">
        <v>1</v>
      </c>
      <c r="H32" s="3">
        <v>4500</v>
      </c>
      <c r="I32" s="3">
        <v>4500</v>
      </c>
      <c r="J32" s="3" t="s">
        <v>65</v>
      </c>
    </row>
    <row r="33" spans="1:10" ht="21.75" customHeight="1" x14ac:dyDescent="0.25">
      <c r="A33" s="3" t="s">
        <v>104</v>
      </c>
      <c r="B33" s="3" t="s">
        <v>105</v>
      </c>
      <c r="C33" s="3" t="s">
        <v>19</v>
      </c>
      <c r="D33" s="3" t="s">
        <v>26</v>
      </c>
      <c r="E33" s="3" t="s">
        <v>20</v>
      </c>
      <c r="F33" s="3" t="s">
        <v>39</v>
      </c>
      <c r="G33" s="3">
        <v>1</v>
      </c>
      <c r="H33" s="3">
        <v>600</v>
      </c>
      <c r="I33" s="3">
        <v>600</v>
      </c>
      <c r="J33" s="3" t="s">
        <v>29</v>
      </c>
    </row>
    <row r="34" spans="1:10" ht="21.75" customHeight="1" x14ac:dyDescent="0.25">
      <c r="A34" s="3" t="s">
        <v>106</v>
      </c>
      <c r="B34" s="3" t="s">
        <v>107</v>
      </c>
      <c r="C34" s="3" t="s">
        <v>45</v>
      </c>
      <c r="D34" s="3" t="s">
        <v>26</v>
      </c>
      <c r="E34" s="3" t="s">
        <v>27</v>
      </c>
      <c r="F34" s="3" t="s">
        <v>103</v>
      </c>
      <c r="G34" s="3">
        <v>1</v>
      </c>
      <c r="H34" s="3">
        <v>4500</v>
      </c>
      <c r="I34" s="3">
        <v>4500</v>
      </c>
      <c r="J34" s="3" t="s">
        <v>65</v>
      </c>
    </row>
    <row r="35" spans="1:10" ht="21.75" customHeight="1" x14ac:dyDescent="0.25">
      <c r="A35" s="3" t="s">
        <v>108</v>
      </c>
      <c r="B35" s="3" t="s">
        <v>109</v>
      </c>
      <c r="C35" s="3" t="s">
        <v>12</v>
      </c>
      <c r="D35" s="3" t="s">
        <v>13</v>
      </c>
      <c r="E35" s="3" t="s">
        <v>14</v>
      </c>
      <c r="F35" s="3" t="s">
        <v>57</v>
      </c>
      <c r="G35" s="3">
        <v>2</v>
      </c>
      <c r="H35" s="3">
        <v>1800</v>
      </c>
      <c r="I35" s="3">
        <v>3600</v>
      </c>
      <c r="J35" s="3" t="s">
        <v>65</v>
      </c>
    </row>
    <row r="36" spans="1:10" ht="21.75" customHeight="1" x14ac:dyDescent="0.25">
      <c r="A36" s="3" t="s">
        <v>110</v>
      </c>
      <c r="B36" s="3" t="s">
        <v>111</v>
      </c>
      <c r="C36" s="3" t="s">
        <v>56</v>
      </c>
      <c r="D36" s="3" t="s">
        <v>13</v>
      </c>
      <c r="E36" s="3" t="s">
        <v>20</v>
      </c>
      <c r="F36" s="3" t="s">
        <v>112</v>
      </c>
      <c r="G36" s="3">
        <v>2</v>
      </c>
      <c r="H36" s="3">
        <v>1200</v>
      </c>
      <c r="I36" s="3">
        <v>2400</v>
      </c>
      <c r="J36" s="3" t="s">
        <v>53</v>
      </c>
    </row>
    <row r="37" spans="1:10" ht="21.75" customHeight="1" x14ac:dyDescent="0.25">
      <c r="A37" s="3" t="s">
        <v>113</v>
      </c>
      <c r="B37" s="3" t="s">
        <v>114</v>
      </c>
      <c r="C37" s="3" t="s">
        <v>81</v>
      </c>
      <c r="D37" s="3" t="s">
        <v>13</v>
      </c>
      <c r="E37" s="3" t="s">
        <v>14</v>
      </c>
      <c r="F37" s="3" t="s">
        <v>84</v>
      </c>
      <c r="G37" s="3">
        <v>1</v>
      </c>
      <c r="H37" s="3">
        <v>900</v>
      </c>
      <c r="I37" s="3">
        <v>900</v>
      </c>
      <c r="J37" s="3" t="s">
        <v>115</v>
      </c>
    </row>
    <row r="38" spans="1:10" ht="21.75" customHeight="1" x14ac:dyDescent="0.25">
      <c r="A38" s="3" t="s">
        <v>116</v>
      </c>
      <c r="B38" s="3" t="s">
        <v>117</v>
      </c>
      <c r="C38" s="3" t="s">
        <v>45</v>
      </c>
      <c r="D38" s="3" t="s">
        <v>26</v>
      </c>
      <c r="E38" s="3" t="s">
        <v>27</v>
      </c>
      <c r="F38" s="3" t="s">
        <v>78</v>
      </c>
      <c r="G38" s="3">
        <v>3</v>
      </c>
      <c r="H38" s="3">
        <v>2200</v>
      </c>
      <c r="I38" s="3">
        <v>6600</v>
      </c>
      <c r="J38" s="3" t="s">
        <v>22</v>
      </c>
    </row>
    <row r="39" spans="1:10" ht="21.75" customHeight="1" x14ac:dyDescent="0.25">
      <c r="A39" s="3" t="s">
        <v>118</v>
      </c>
      <c r="B39" s="3" t="s">
        <v>117</v>
      </c>
      <c r="C39" s="3" t="s">
        <v>45</v>
      </c>
      <c r="D39" s="3" t="s">
        <v>13</v>
      </c>
      <c r="E39" s="3" t="s">
        <v>14</v>
      </c>
      <c r="F39" s="3" t="s">
        <v>15</v>
      </c>
      <c r="G39" s="3">
        <v>2</v>
      </c>
      <c r="H39" s="3">
        <v>1200</v>
      </c>
      <c r="I39" s="3">
        <v>2400</v>
      </c>
      <c r="J39" s="3" t="s">
        <v>22</v>
      </c>
    </row>
    <row r="40" spans="1:10" ht="21.75" customHeight="1" x14ac:dyDescent="0.25">
      <c r="A40" s="3" t="s">
        <v>119</v>
      </c>
      <c r="B40" s="3" t="s">
        <v>120</v>
      </c>
      <c r="C40" s="3" t="s">
        <v>32</v>
      </c>
      <c r="D40" s="3" t="s">
        <v>26</v>
      </c>
      <c r="E40" s="3" t="s">
        <v>20</v>
      </c>
      <c r="F40" s="3" t="s">
        <v>39</v>
      </c>
      <c r="G40" s="3">
        <v>4</v>
      </c>
      <c r="H40" s="3">
        <v>600</v>
      </c>
      <c r="I40" s="3">
        <v>2400</v>
      </c>
      <c r="J40" s="3" t="s">
        <v>53</v>
      </c>
    </row>
    <row r="41" spans="1:10" ht="21.75" customHeight="1" x14ac:dyDescent="0.25">
      <c r="A41" s="3" t="s">
        <v>121</v>
      </c>
      <c r="B41" s="3" t="s">
        <v>122</v>
      </c>
      <c r="C41" s="3" t="s">
        <v>60</v>
      </c>
      <c r="D41" s="3" t="s">
        <v>38</v>
      </c>
      <c r="E41" s="3" t="s">
        <v>27</v>
      </c>
      <c r="F41" s="3" t="s">
        <v>103</v>
      </c>
      <c r="G41" s="3">
        <v>3</v>
      </c>
      <c r="H41" s="3">
        <v>4500</v>
      </c>
      <c r="I41" s="3">
        <v>13500</v>
      </c>
      <c r="J41" s="3" t="s">
        <v>65</v>
      </c>
    </row>
    <row r="42" spans="1:10" ht="21.75" customHeight="1" x14ac:dyDescent="0.25">
      <c r="A42" s="3" t="s">
        <v>123</v>
      </c>
      <c r="B42" s="3" t="s">
        <v>124</v>
      </c>
      <c r="C42" s="3" t="s">
        <v>56</v>
      </c>
      <c r="D42" s="3" t="s">
        <v>26</v>
      </c>
      <c r="E42" s="3" t="s">
        <v>27</v>
      </c>
      <c r="F42" s="3" t="s">
        <v>97</v>
      </c>
      <c r="G42" s="3">
        <v>3</v>
      </c>
      <c r="H42" s="3">
        <v>700</v>
      </c>
      <c r="I42" s="3">
        <v>2100</v>
      </c>
      <c r="J42" s="3" t="s">
        <v>115</v>
      </c>
    </row>
    <row r="43" spans="1:10" ht="21.75" customHeight="1" x14ac:dyDescent="0.25">
      <c r="A43" s="3" t="s">
        <v>125</v>
      </c>
      <c r="B43" s="3" t="s">
        <v>126</v>
      </c>
      <c r="C43" s="3" t="s">
        <v>25</v>
      </c>
      <c r="D43" s="3" t="s">
        <v>26</v>
      </c>
      <c r="E43" s="3" t="s">
        <v>27</v>
      </c>
      <c r="F43" s="3" t="s">
        <v>103</v>
      </c>
      <c r="G43" s="3">
        <v>1</v>
      </c>
      <c r="H43" s="3">
        <v>4500</v>
      </c>
      <c r="I43" s="3">
        <v>4500</v>
      </c>
      <c r="J43" s="3" t="s">
        <v>22</v>
      </c>
    </row>
    <row r="44" spans="1:10" ht="21.75" customHeight="1" x14ac:dyDescent="0.25">
      <c r="A44" s="3" t="s">
        <v>127</v>
      </c>
      <c r="B44" s="3" t="s">
        <v>128</v>
      </c>
      <c r="C44" s="3" t="s">
        <v>52</v>
      </c>
      <c r="D44" s="3" t="s">
        <v>26</v>
      </c>
      <c r="E44" s="3" t="s">
        <v>27</v>
      </c>
      <c r="F44" s="3" t="s">
        <v>78</v>
      </c>
      <c r="G44" s="3">
        <v>2</v>
      </c>
      <c r="H44" s="3">
        <v>2200</v>
      </c>
      <c r="I44" s="3">
        <v>4400</v>
      </c>
      <c r="J44" s="3" t="s">
        <v>29</v>
      </c>
    </row>
    <row r="45" spans="1:10" ht="21.75" customHeight="1" x14ac:dyDescent="0.25">
      <c r="A45" s="3" t="s">
        <v>129</v>
      </c>
      <c r="B45" s="3" t="s">
        <v>130</v>
      </c>
      <c r="C45" s="3" t="s">
        <v>52</v>
      </c>
      <c r="D45" s="3" t="s">
        <v>49</v>
      </c>
      <c r="E45" s="3" t="s">
        <v>20</v>
      </c>
      <c r="F45" s="3" t="s">
        <v>39</v>
      </c>
      <c r="G45" s="3">
        <v>2</v>
      </c>
      <c r="H45" s="3">
        <v>600</v>
      </c>
      <c r="I45" s="3">
        <v>1200</v>
      </c>
      <c r="J45" s="3" t="s">
        <v>65</v>
      </c>
    </row>
    <row r="46" spans="1:10" ht="21.75" customHeight="1" x14ac:dyDescent="0.25">
      <c r="A46" s="3" t="s">
        <v>131</v>
      </c>
      <c r="B46" s="3" t="s">
        <v>64</v>
      </c>
      <c r="C46" s="3" t="s">
        <v>60</v>
      </c>
      <c r="D46" s="3" t="s">
        <v>49</v>
      </c>
      <c r="E46" s="3" t="s">
        <v>14</v>
      </c>
      <c r="F46" s="3" t="s">
        <v>84</v>
      </c>
      <c r="G46" s="3">
        <v>5</v>
      </c>
      <c r="H46" s="3">
        <v>900</v>
      </c>
      <c r="I46" s="3">
        <v>4500</v>
      </c>
      <c r="J46" s="3" t="s">
        <v>65</v>
      </c>
    </row>
    <row r="47" spans="1:10" ht="21.75" customHeight="1" x14ac:dyDescent="0.25">
      <c r="A47" s="3" t="s">
        <v>132</v>
      </c>
      <c r="B47" s="3" t="s">
        <v>133</v>
      </c>
      <c r="C47" s="3" t="s">
        <v>48</v>
      </c>
      <c r="D47" s="3" t="s">
        <v>26</v>
      </c>
      <c r="E47" s="3" t="s">
        <v>27</v>
      </c>
      <c r="F47" s="3" t="s">
        <v>103</v>
      </c>
      <c r="G47" s="3">
        <v>2</v>
      </c>
      <c r="H47" s="3">
        <v>4500</v>
      </c>
      <c r="I47" s="3">
        <v>9000</v>
      </c>
      <c r="J47" s="3" t="s">
        <v>65</v>
      </c>
    </row>
    <row r="48" spans="1:10" ht="21.75" customHeight="1" x14ac:dyDescent="0.25">
      <c r="A48" s="3" t="s">
        <v>134</v>
      </c>
      <c r="B48" s="3" t="s">
        <v>135</v>
      </c>
      <c r="C48" s="3" t="s">
        <v>19</v>
      </c>
      <c r="D48" s="3" t="s">
        <v>13</v>
      </c>
      <c r="E48" s="3" t="s">
        <v>20</v>
      </c>
      <c r="F48" s="3" t="s">
        <v>39</v>
      </c>
      <c r="G48" s="3">
        <v>5</v>
      </c>
      <c r="H48" s="3">
        <v>600</v>
      </c>
      <c r="I48" s="3">
        <v>3000</v>
      </c>
      <c r="J48" s="3" t="s">
        <v>115</v>
      </c>
    </row>
    <row r="49" spans="1:10" ht="21.75" customHeight="1" x14ac:dyDescent="0.25">
      <c r="A49" s="3" t="s">
        <v>136</v>
      </c>
      <c r="B49" s="3" t="s">
        <v>137</v>
      </c>
      <c r="C49" s="3" t="s">
        <v>48</v>
      </c>
      <c r="D49" s="3" t="s">
        <v>38</v>
      </c>
      <c r="E49" s="3" t="s">
        <v>27</v>
      </c>
      <c r="F49" s="3" t="s">
        <v>28</v>
      </c>
      <c r="G49" s="3">
        <v>5</v>
      </c>
      <c r="H49" s="3">
        <v>300</v>
      </c>
      <c r="I49" s="3">
        <v>1500</v>
      </c>
      <c r="J49" s="3" t="s">
        <v>65</v>
      </c>
    </row>
    <row r="50" spans="1:10" ht="21.75" customHeight="1" x14ac:dyDescent="0.25">
      <c r="A50" s="3" t="s">
        <v>138</v>
      </c>
      <c r="B50" s="3" t="s">
        <v>139</v>
      </c>
      <c r="C50" s="3" t="s">
        <v>19</v>
      </c>
      <c r="D50" s="3" t="s">
        <v>13</v>
      </c>
      <c r="E50" s="3" t="s">
        <v>27</v>
      </c>
      <c r="F50" s="3" t="s">
        <v>78</v>
      </c>
      <c r="G50" s="3">
        <v>2</v>
      </c>
      <c r="H50" s="3">
        <v>2200</v>
      </c>
      <c r="I50" s="3">
        <v>4400</v>
      </c>
      <c r="J50" s="3" t="s">
        <v>16</v>
      </c>
    </row>
    <row r="51" spans="1:10" ht="21.75" customHeight="1" x14ac:dyDescent="0.25">
      <c r="A51" s="3" t="s">
        <v>140</v>
      </c>
      <c r="B51" s="3" t="s">
        <v>141</v>
      </c>
      <c r="C51" s="3" t="s">
        <v>81</v>
      </c>
      <c r="D51" s="3" t="s">
        <v>26</v>
      </c>
      <c r="E51" s="3" t="s">
        <v>27</v>
      </c>
      <c r="F51" s="3" t="s">
        <v>97</v>
      </c>
      <c r="G51" s="3">
        <v>1</v>
      </c>
      <c r="H51" s="3">
        <v>700</v>
      </c>
      <c r="I51" s="3">
        <v>700</v>
      </c>
      <c r="J51" s="3" t="s">
        <v>22</v>
      </c>
    </row>
    <row r="52" spans="1:10" ht="21.75" customHeight="1" x14ac:dyDescent="0.25">
      <c r="A52" s="3" t="s">
        <v>142</v>
      </c>
      <c r="B52" s="3" t="s">
        <v>143</v>
      </c>
      <c r="C52" s="3" t="s">
        <v>60</v>
      </c>
      <c r="D52" s="3" t="s">
        <v>49</v>
      </c>
      <c r="E52" s="3" t="s">
        <v>14</v>
      </c>
      <c r="F52" s="3" t="s">
        <v>68</v>
      </c>
      <c r="G52" s="3">
        <v>1</v>
      </c>
      <c r="H52" s="3">
        <v>500</v>
      </c>
      <c r="I52" s="3">
        <v>500</v>
      </c>
      <c r="J52" s="3" t="s">
        <v>53</v>
      </c>
    </row>
    <row r="53" spans="1:10" ht="21.75" customHeight="1" x14ac:dyDescent="0.25">
      <c r="A53" s="3" t="s">
        <v>144</v>
      </c>
      <c r="B53" s="3" t="s">
        <v>145</v>
      </c>
      <c r="C53" s="3" t="s">
        <v>60</v>
      </c>
      <c r="D53" s="3" t="s">
        <v>38</v>
      </c>
      <c r="E53" s="3" t="s">
        <v>27</v>
      </c>
      <c r="F53" s="3" t="s">
        <v>28</v>
      </c>
      <c r="G53" s="3">
        <v>2</v>
      </c>
      <c r="H53" s="3">
        <v>300</v>
      </c>
      <c r="I53" s="3">
        <v>600</v>
      </c>
      <c r="J53" s="3" t="s">
        <v>115</v>
      </c>
    </row>
    <row r="54" spans="1:10" ht="21.75" customHeight="1" x14ac:dyDescent="0.25">
      <c r="A54" s="3" t="s">
        <v>146</v>
      </c>
      <c r="B54" s="3" t="s">
        <v>147</v>
      </c>
      <c r="C54" s="3" t="s">
        <v>45</v>
      </c>
      <c r="D54" s="3" t="s">
        <v>49</v>
      </c>
      <c r="E54" s="3" t="s">
        <v>20</v>
      </c>
      <c r="F54" s="3" t="s">
        <v>39</v>
      </c>
      <c r="G54" s="3">
        <v>5</v>
      </c>
      <c r="H54" s="3">
        <v>600</v>
      </c>
      <c r="I54" s="3">
        <v>3000</v>
      </c>
      <c r="J54" s="3" t="s">
        <v>29</v>
      </c>
    </row>
    <row r="55" spans="1:10" ht="21.75" customHeight="1" x14ac:dyDescent="0.25">
      <c r="A55" s="3" t="s">
        <v>148</v>
      </c>
      <c r="B55" s="3" t="s">
        <v>149</v>
      </c>
      <c r="C55" s="3" t="s">
        <v>48</v>
      </c>
      <c r="D55" s="3" t="s">
        <v>26</v>
      </c>
      <c r="E55" s="3" t="s">
        <v>14</v>
      </c>
      <c r="F55" s="3" t="s">
        <v>57</v>
      </c>
      <c r="G55" s="3">
        <v>3</v>
      </c>
      <c r="H55" s="3">
        <v>1800</v>
      </c>
      <c r="I55" s="3">
        <v>5400</v>
      </c>
      <c r="J55" s="3" t="s">
        <v>65</v>
      </c>
    </row>
    <row r="56" spans="1:10" ht="21.75" customHeight="1" x14ac:dyDescent="0.25">
      <c r="A56" s="3" t="s">
        <v>150</v>
      </c>
      <c r="B56" s="3" t="s">
        <v>11</v>
      </c>
      <c r="C56" s="3" t="s">
        <v>52</v>
      </c>
      <c r="D56" s="3" t="s">
        <v>38</v>
      </c>
      <c r="E56" s="3" t="s">
        <v>27</v>
      </c>
      <c r="F56" s="3" t="s">
        <v>103</v>
      </c>
      <c r="G56" s="3">
        <v>3</v>
      </c>
      <c r="H56" s="3">
        <v>4500</v>
      </c>
      <c r="I56" s="3">
        <v>13500</v>
      </c>
      <c r="J56" s="3" t="s">
        <v>16</v>
      </c>
    </row>
    <row r="57" spans="1:10" ht="21.75" customHeight="1" x14ac:dyDescent="0.25">
      <c r="A57" s="3" t="s">
        <v>151</v>
      </c>
      <c r="B57" s="3" t="s">
        <v>152</v>
      </c>
      <c r="C57" s="3" t="s">
        <v>12</v>
      </c>
      <c r="D57" s="3" t="s">
        <v>26</v>
      </c>
      <c r="E57" s="3" t="s">
        <v>20</v>
      </c>
      <c r="F57" s="3" t="s">
        <v>75</v>
      </c>
      <c r="G57" s="3">
        <v>5</v>
      </c>
      <c r="H57" s="3">
        <v>800</v>
      </c>
      <c r="I57" s="3">
        <v>4000</v>
      </c>
      <c r="J57" s="3" t="s">
        <v>65</v>
      </c>
    </row>
    <row r="58" spans="1:10" ht="21.75" customHeight="1" x14ac:dyDescent="0.25">
      <c r="A58" s="3" t="s">
        <v>153</v>
      </c>
      <c r="B58" s="3" t="s">
        <v>154</v>
      </c>
      <c r="C58" s="3" t="s">
        <v>48</v>
      </c>
      <c r="D58" s="3" t="s">
        <v>13</v>
      </c>
      <c r="E58" s="3" t="s">
        <v>27</v>
      </c>
      <c r="F58" s="3" t="s">
        <v>103</v>
      </c>
      <c r="G58" s="3">
        <v>4</v>
      </c>
      <c r="H58" s="3">
        <v>4500</v>
      </c>
      <c r="I58" s="3">
        <v>18000</v>
      </c>
      <c r="J58" s="3" t="s">
        <v>65</v>
      </c>
    </row>
    <row r="59" spans="1:10" ht="21.75" customHeight="1" x14ac:dyDescent="0.25">
      <c r="A59" s="3" t="s">
        <v>155</v>
      </c>
      <c r="B59" s="3" t="s">
        <v>156</v>
      </c>
      <c r="C59" s="3" t="s">
        <v>56</v>
      </c>
      <c r="D59" s="3" t="s">
        <v>13</v>
      </c>
      <c r="E59" s="3" t="s">
        <v>27</v>
      </c>
      <c r="F59" s="3" t="s">
        <v>78</v>
      </c>
      <c r="G59" s="3">
        <v>3</v>
      </c>
      <c r="H59" s="3">
        <v>2200</v>
      </c>
      <c r="I59" s="3">
        <v>6600</v>
      </c>
      <c r="J59" s="3" t="s">
        <v>22</v>
      </c>
    </row>
    <row r="60" spans="1:10" ht="21.75" customHeight="1" x14ac:dyDescent="0.25">
      <c r="A60" s="3" t="s">
        <v>157</v>
      </c>
      <c r="B60" s="3" t="s">
        <v>158</v>
      </c>
      <c r="C60" s="3" t="s">
        <v>56</v>
      </c>
      <c r="D60" s="3" t="s">
        <v>49</v>
      </c>
      <c r="E60" s="3" t="s">
        <v>14</v>
      </c>
      <c r="F60" s="3" t="s">
        <v>68</v>
      </c>
      <c r="G60" s="3">
        <v>3</v>
      </c>
      <c r="H60" s="3">
        <v>500</v>
      </c>
      <c r="I60" s="3">
        <v>1500</v>
      </c>
      <c r="J60" s="3" t="s">
        <v>115</v>
      </c>
    </row>
    <row r="61" spans="1:10" ht="21.75" customHeight="1" x14ac:dyDescent="0.25">
      <c r="A61" s="3" t="s">
        <v>159</v>
      </c>
      <c r="B61" s="3" t="s">
        <v>160</v>
      </c>
      <c r="C61" s="3" t="s">
        <v>19</v>
      </c>
      <c r="D61" s="3" t="s">
        <v>38</v>
      </c>
      <c r="E61" s="3" t="s">
        <v>20</v>
      </c>
      <c r="F61" s="3" t="s">
        <v>112</v>
      </c>
      <c r="G61" s="3">
        <v>1</v>
      </c>
      <c r="H61" s="3">
        <v>1200</v>
      </c>
      <c r="I61" s="3">
        <v>1200</v>
      </c>
      <c r="J61" s="3" t="s">
        <v>65</v>
      </c>
    </row>
    <row r="62" spans="1:10" ht="21.75" customHeight="1" x14ac:dyDescent="0.25">
      <c r="A62" s="3" t="s">
        <v>161</v>
      </c>
      <c r="B62" s="3" t="s">
        <v>162</v>
      </c>
      <c r="C62" s="3" t="s">
        <v>45</v>
      </c>
      <c r="D62" s="3" t="s">
        <v>49</v>
      </c>
      <c r="E62" s="3" t="s">
        <v>14</v>
      </c>
      <c r="F62" s="3" t="s">
        <v>15</v>
      </c>
      <c r="G62" s="3">
        <v>4</v>
      </c>
      <c r="H62" s="3">
        <v>1200</v>
      </c>
      <c r="I62" s="3">
        <v>4800</v>
      </c>
      <c r="J62" s="3" t="s">
        <v>115</v>
      </c>
    </row>
    <row r="63" spans="1:10" ht="21.75" customHeight="1" x14ac:dyDescent="0.25">
      <c r="A63" s="3" t="s">
        <v>163</v>
      </c>
      <c r="B63" s="3" t="s">
        <v>164</v>
      </c>
      <c r="C63" s="3" t="s">
        <v>52</v>
      </c>
      <c r="D63" s="3" t="s">
        <v>49</v>
      </c>
      <c r="E63" s="3" t="s">
        <v>20</v>
      </c>
      <c r="F63" s="3" t="s">
        <v>39</v>
      </c>
      <c r="G63" s="3">
        <v>5</v>
      </c>
      <c r="H63" s="3">
        <v>600</v>
      </c>
      <c r="I63" s="3">
        <v>3000</v>
      </c>
      <c r="J63" s="3" t="s">
        <v>22</v>
      </c>
    </row>
    <row r="64" spans="1:10" ht="21.75" customHeight="1" x14ac:dyDescent="0.25">
      <c r="A64" s="3" t="s">
        <v>165</v>
      </c>
      <c r="B64" s="3" t="s">
        <v>166</v>
      </c>
      <c r="C64" s="3" t="s">
        <v>25</v>
      </c>
      <c r="D64" s="3" t="s">
        <v>49</v>
      </c>
      <c r="E64" s="3" t="s">
        <v>20</v>
      </c>
      <c r="F64" s="3" t="s">
        <v>112</v>
      </c>
      <c r="G64" s="3">
        <v>5</v>
      </c>
      <c r="H64" s="3">
        <v>1200</v>
      </c>
      <c r="I64" s="3">
        <v>6000</v>
      </c>
      <c r="J64" s="3" t="s">
        <v>16</v>
      </c>
    </row>
    <row r="65" spans="1:10" ht="21.75" customHeight="1" x14ac:dyDescent="0.25">
      <c r="A65" s="3" t="s">
        <v>167</v>
      </c>
      <c r="B65" s="3" t="s">
        <v>11</v>
      </c>
      <c r="C65" s="3" t="s">
        <v>19</v>
      </c>
      <c r="D65" s="3" t="s">
        <v>49</v>
      </c>
      <c r="E65" s="3" t="s">
        <v>14</v>
      </c>
      <c r="F65" s="3" t="s">
        <v>33</v>
      </c>
      <c r="G65" s="3">
        <v>2</v>
      </c>
      <c r="H65" s="3">
        <v>2500</v>
      </c>
      <c r="I65" s="3">
        <v>5000</v>
      </c>
      <c r="J65" s="3" t="s">
        <v>16</v>
      </c>
    </row>
    <row r="66" spans="1:10" ht="21.75" customHeight="1" x14ac:dyDescent="0.25">
      <c r="A66" s="3" t="s">
        <v>168</v>
      </c>
      <c r="B66" s="3" t="s">
        <v>169</v>
      </c>
      <c r="C66" s="3" t="s">
        <v>48</v>
      </c>
      <c r="D66" s="3" t="s">
        <v>49</v>
      </c>
      <c r="E66" s="3" t="s">
        <v>20</v>
      </c>
      <c r="F66" s="3" t="s">
        <v>21</v>
      </c>
      <c r="G66" s="3">
        <v>3</v>
      </c>
      <c r="H66" s="3">
        <v>3500</v>
      </c>
      <c r="I66" s="3">
        <v>10500</v>
      </c>
      <c r="J66" s="3" t="s">
        <v>115</v>
      </c>
    </row>
    <row r="67" spans="1:10" ht="21.75" customHeight="1" x14ac:dyDescent="0.25">
      <c r="A67" s="3" t="s">
        <v>170</v>
      </c>
      <c r="B67" s="3" t="s">
        <v>171</v>
      </c>
      <c r="C67" s="3" t="s">
        <v>56</v>
      </c>
      <c r="D67" s="3" t="s">
        <v>49</v>
      </c>
      <c r="E67" s="3" t="s">
        <v>20</v>
      </c>
      <c r="F67" s="3" t="s">
        <v>75</v>
      </c>
      <c r="G67" s="3">
        <v>5</v>
      </c>
      <c r="H67" s="3">
        <v>800</v>
      </c>
      <c r="I67" s="3">
        <v>4000</v>
      </c>
      <c r="J67" s="3" t="s">
        <v>29</v>
      </c>
    </row>
    <row r="68" spans="1:10" ht="21.75" customHeight="1" x14ac:dyDescent="0.25">
      <c r="A68" s="3" t="s">
        <v>172</v>
      </c>
      <c r="B68" s="3" t="s">
        <v>173</v>
      </c>
      <c r="C68" s="3" t="s">
        <v>19</v>
      </c>
      <c r="D68" s="3" t="s">
        <v>13</v>
      </c>
      <c r="E68" s="3" t="s">
        <v>27</v>
      </c>
      <c r="F68" s="3" t="s">
        <v>97</v>
      </c>
      <c r="G68" s="3">
        <v>4</v>
      </c>
      <c r="H68" s="3">
        <v>700</v>
      </c>
      <c r="I68" s="3">
        <v>2800</v>
      </c>
      <c r="J68" s="3" t="s">
        <v>22</v>
      </c>
    </row>
    <row r="69" spans="1:10" ht="21.75" customHeight="1" x14ac:dyDescent="0.25">
      <c r="A69" s="3" t="s">
        <v>174</v>
      </c>
      <c r="B69" s="3" t="s">
        <v>137</v>
      </c>
      <c r="C69" s="3" t="s">
        <v>60</v>
      </c>
      <c r="D69" s="3" t="s">
        <v>13</v>
      </c>
      <c r="E69" s="3" t="s">
        <v>14</v>
      </c>
      <c r="F69" s="3" t="s">
        <v>33</v>
      </c>
      <c r="G69" s="3">
        <v>5</v>
      </c>
      <c r="H69" s="3">
        <v>2500</v>
      </c>
      <c r="I69" s="3">
        <v>12500</v>
      </c>
      <c r="J69" s="3" t="s">
        <v>65</v>
      </c>
    </row>
    <row r="70" spans="1:10" ht="21.75" customHeight="1" x14ac:dyDescent="0.25">
      <c r="A70" s="3" t="s">
        <v>175</v>
      </c>
      <c r="B70" s="3" t="s">
        <v>176</v>
      </c>
      <c r="C70" s="3" t="s">
        <v>48</v>
      </c>
      <c r="D70" s="3" t="s">
        <v>26</v>
      </c>
      <c r="E70" s="3" t="s">
        <v>27</v>
      </c>
      <c r="F70" s="3" t="s">
        <v>97</v>
      </c>
      <c r="G70" s="3">
        <v>4</v>
      </c>
      <c r="H70" s="3">
        <v>700</v>
      </c>
      <c r="I70" s="3">
        <v>2800</v>
      </c>
      <c r="J70" s="3" t="s">
        <v>65</v>
      </c>
    </row>
    <row r="71" spans="1:10" ht="21.75" customHeight="1" x14ac:dyDescent="0.25">
      <c r="A71" s="3" t="s">
        <v>177</v>
      </c>
      <c r="B71" s="3" t="s">
        <v>126</v>
      </c>
      <c r="C71" s="3" t="s">
        <v>56</v>
      </c>
      <c r="D71" s="3" t="s">
        <v>38</v>
      </c>
      <c r="E71" s="3" t="s">
        <v>27</v>
      </c>
      <c r="F71" s="3" t="s">
        <v>97</v>
      </c>
      <c r="G71" s="3">
        <v>4</v>
      </c>
      <c r="H71" s="3">
        <v>700</v>
      </c>
      <c r="I71" s="3">
        <v>2800</v>
      </c>
      <c r="J71" s="3" t="s">
        <v>22</v>
      </c>
    </row>
    <row r="72" spans="1:10" ht="21.75" customHeight="1" x14ac:dyDescent="0.25">
      <c r="A72" s="3" t="s">
        <v>178</v>
      </c>
      <c r="B72" s="3" t="s">
        <v>47</v>
      </c>
      <c r="C72" s="3" t="s">
        <v>52</v>
      </c>
      <c r="D72" s="3" t="s">
        <v>26</v>
      </c>
      <c r="E72" s="3" t="s">
        <v>20</v>
      </c>
      <c r="F72" s="3" t="s">
        <v>21</v>
      </c>
      <c r="G72" s="3">
        <v>2</v>
      </c>
      <c r="H72" s="3">
        <v>3500</v>
      </c>
      <c r="I72" s="3">
        <v>7000</v>
      </c>
      <c r="J72" s="3" t="s">
        <v>16</v>
      </c>
    </row>
    <row r="73" spans="1:10" ht="21.75" customHeight="1" x14ac:dyDescent="0.25">
      <c r="A73" s="3" t="s">
        <v>179</v>
      </c>
      <c r="B73" s="3" t="s">
        <v>180</v>
      </c>
      <c r="C73" s="3" t="s">
        <v>48</v>
      </c>
      <c r="D73" s="3" t="s">
        <v>26</v>
      </c>
      <c r="E73" s="3" t="s">
        <v>14</v>
      </c>
      <c r="F73" s="3" t="s">
        <v>57</v>
      </c>
      <c r="G73" s="3">
        <v>5</v>
      </c>
      <c r="H73" s="3">
        <v>1800</v>
      </c>
      <c r="I73" s="3">
        <v>9000</v>
      </c>
      <c r="J73" s="3" t="s">
        <v>29</v>
      </c>
    </row>
    <row r="74" spans="1:10" ht="21.75" customHeight="1" x14ac:dyDescent="0.25">
      <c r="A74" s="3" t="s">
        <v>181</v>
      </c>
      <c r="B74" s="3" t="s">
        <v>47</v>
      </c>
      <c r="C74" s="3" t="s">
        <v>52</v>
      </c>
      <c r="D74" s="3" t="s">
        <v>49</v>
      </c>
      <c r="E74" s="3" t="s">
        <v>27</v>
      </c>
      <c r="F74" s="3" t="s">
        <v>103</v>
      </c>
      <c r="G74" s="3">
        <v>5</v>
      </c>
      <c r="H74" s="3">
        <v>4500</v>
      </c>
      <c r="I74" s="3">
        <v>22500</v>
      </c>
      <c r="J74" s="3" t="s">
        <v>16</v>
      </c>
    </row>
    <row r="75" spans="1:10" ht="21.75" customHeight="1" x14ac:dyDescent="0.25">
      <c r="A75" s="3" t="s">
        <v>182</v>
      </c>
      <c r="B75" s="3" t="s">
        <v>41</v>
      </c>
      <c r="C75" s="3" t="s">
        <v>56</v>
      </c>
      <c r="D75" s="3" t="s">
        <v>26</v>
      </c>
      <c r="E75" s="3" t="s">
        <v>27</v>
      </c>
      <c r="F75" s="3" t="s">
        <v>103</v>
      </c>
      <c r="G75" s="3">
        <v>3</v>
      </c>
      <c r="H75" s="3">
        <v>4500</v>
      </c>
      <c r="I75" s="3">
        <v>13500</v>
      </c>
      <c r="J75" s="3" t="s">
        <v>29</v>
      </c>
    </row>
    <row r="76" spans="1:10" ht="21.75" customHeight="1" x14ac:dyDescent="0.25">
      <c r="A76" s="3" t="s">
        <v>183</v>
      </c>
      <c r="B76" s="3" t="s">
        <v>184</v>
      </c>
      <c r="C76" s="3" t="s">
        <v>25</v>
      </c>
      <c r="D76" s="3" t="s">
        <v>49</v>
      </c>
      <c r="E76" s="3" t="s">
        <v>14</v>
      </c>
      <c r="F76" s="3" t="s">
        <v>68</v>
      </c>
      <c r="G76" s="3">
        <v>2</v>
      </c>
      <c r="H76" s="3">
        <v>500</v>
      </c>
      <c r="I76" s="3">
        <v>1000</v>
      </c>
      <c r="J76" s="3" t="s">
        <v>16</v>
      </c>
    </row>
    <row r="77" spans="1:10" ht="21.75" customHeight="1" x14ac:dyDescent="0.25">
      <c r="A77" s="3" t="s">
        <v>185</v>
      </c>
      <c r="B77" s="3" t="s">
        <v>186</v>
      </c>
      <c r="C77" s="3" t="s">
        <v>12</v>
      </c>
      <c r="D77" s="3" t="s">
        <v>26</v>
      </c>
      <c r="E77" s="3" t="s">
        <v>20</v>
      </c>
      <c r="F77" s="3" t="s">
        <v>75</v>
      </c>
      <c r="G77" s="3">
        <v>1</v>
      </c>
      <c r="H77" s="3">
        <v>800</v>
      </c>
      <c r="I77" s="3">
        <v>800</v>
      </c>
      <c r="J77" s="3" t="s">
        <v>22</v>
      </c>
    </row>
    <row r="78" spans="1:10" ht="21.75" customHeight="1" x14ac:dyDescent="0.25">
      <c r="A78" s="3" t="s">
        <v>187</v>
      </c>
      <c r="B78" s="3" t="s">
        <v>188</v>
      </c>
      <c r="C78" s="3" t="s">
        <v>60</v>
      </c>
      <c r="D78" s="3" t="s">
        <v>49</v>
      </c>
      <c r="E78" s="3" t="s">
        <v>27</v>
      </c>
      <c r="F78" s="3" t="s">
        <v>97</v>
      </c>
      <c r="G78" s="3">
        <v>2</v>
      </c>
      <c r="H78" s="3">
        <v>700</v>
      </c>
      <c r="I78" s="3">
        <v>1400</v>
      </c>
      <c r="J78" s="3" t="s">
        <v>22</v>
      </c>
    </row>
    <row r="79" spans="1:10" ht="21.75" customHeight="1" x14ac:dyDescent="0.25">
      <c r="A79" s="3" t="s">
        <v>189</v>
      </c>
      <c r="B79" s="3" t="s">
        <v>105</v>
      </c>
      <c r="C79" s="3" t="s">
        <v>60</v>
      </c>
      <c r="D79" s="3" t="s">
        <v>38</v>
      </c>
      <c r="E79" s="3" t="s">
        <v>14</v>
      </c>
      <c r="F79" s="3" t="s">
        <v>57</v>
      </c>
      <c r="G79" s="3">
        <v>5</v>
      </c>
      <c r="H79" s="3">
        <v>1800</v>
      </c>
      <c r="I79" s="3">
        <v>9000</v>
      </c>
      <c r="J79" s="3" t="s">
        <v>29</v>
      </c>
    </row>
    <row r="80" spans="1:10" ht="21.75" customHeight="1" x14ac:dyDescent="0.25">
      <c r="A80" s="3" t="s">
        <v>190</v>
      </c>
      <c r="B80" s="3" t="s">
        <v>59</v>
      </c>
      <c r="C80" s="3" t="s">
        <v>45</v>
      </c>
      <c r="D80" s="3" t="s">
        <v>13</v>
      </c>
      <c r="E80" s="3" t="s">
        <v>14</v>
      </c>
      <c r="F80" s="3" t="s">
        <v>57</v>
      </c>
      <c r="G80" s="3">
        <v>2</v>
      </c>
      <c r="H80" s="3">
        <v>1800</v>
      </c>
      <c r="I80" s="3">
        <v>3600</v>
      </c>
      <c r="J80" s="3" t="s">
        <v>16</v>
      </c>
    </row>
    <row r="81" spans="1:10" ht="21.75" customHeight="1" x14ac:dyDescent="0.25">
      <c r="A81" s="3" t="s">
        <v>191</v>
      </c>
      <c r="B81" s="3" t="s">
        <v>124</v>
      </c>
      <c r="C81" s="3" t="s">
        <v>52</v>
      </c>
      <c r="D81" s="3" t="s">
        <v>38</v>
      </c>
      <c r="E81" s="3" t="s">
        <v>14</v>
      </c>
      <c r="F81" s="3" t="s">
        <v>84</v>
      </c>
      <c r="G81" s="3">
        <v>5</v>
      </c>
      <c r="H81" s="3">
        <v>900</v>
      </c>
      <c r="I81" s="3">
        <v>4500</v>
      </c>
      <c r="J81" s="3" t="s">
        <v>115</v>
      </c>
    </row>
    <row r="82" spans="1:10" ht="21.75" customHeight="1" x14ac:dyDescent="0.25">
      <c r="A82" s="3" t="s">
        <v>192</v>
      </c>
      <c r="B82" s="3" t="s">
        <v>11</v>
      </c>
      <c r="C82" s="3" t="s">
        <v>56</v>
      </c>
      <c r="D82" s="3" t="s">
        <v>13</v>
      </c>
      <c r="E82" s="3" t="s">
        <v>27</v>
      </c>
      <c r="F82" s="3" t="s">
        <v>28</v>
      </c>
      <c r="G82" s="3">
        <v>2</v>
      </c>
      <c r="H82" s="3">
        <v>300</v>
      </c>
      <c r="I82" s="3">
        <v>600</v>
      </c>
      <c r="J82" s="3" t="s">
        <v>16</v>
      </c>
    </row>
    <row r="83" spans="1:10" ht="21.75" customHeight="1" x14ac:dyDescent="0.25">
      <c r="A83" s="3" t="s">
        <v>193</v>
      </c>
      <c r="B83" s="3" t="s">
        <v>72</v>
      </c>
      <c r="C83" s="3" t="s">
        <v>56</v>
      </c>
      <c r="D83" s="3" t="s">
        <v>49</v>
      </c>
      <c r="E83" s="3" t="s">
        <v>27</v>
      </c>
      <c r="F83" s="3" t="s">
        <v>97</v>
      </c>
      <c r="G83" s="3">
        <v>1</v>
      </c>
      <c r="H83" s="3">
        <v>700</v>
      </c>
      <c r="I83" s="3">
        <v>700</v>
      </c>
      <c r="J83" s="3" t="s">
        <v>65</v>
      </c>
    </row>
    <row r="84" spans="1:10" ht="21.75" customHeight="1" x14ac:dyDescent="0.25">
      <c r="A84" s="3" t="s">
        <v>194</v>
      </c>
      <c r="B84" s="3" t="s">
        <v>128</v>
      </c>
      <c r="C84" s="3" t="s">
        <v>60</v>
      </c>
      <c r="D84" s="3" t="s">
        <v>13</v>
      </c>
      <c r="E84" s="3" t="s">
        <v>27</v>
      </c>
      <c r="F84" s="3" t="s">
        <v>28</v>
      </c>
      <c r="G84" s="3">
        <v>3</v>
      </c>
      <c r="H84" s="3">
        <v>300</v>
      </c>
      <c r="I84" s="3">
        <v>900</v>
      </c>
      <c r="J84" s="3" t="s">
        <v>29</v>
      </c>
    </row>
    <row r="85" spans="1:10" ht="21.75" customHeight="1" x14ac:dyDescent="0.25">
      <c r="A85" s="3" t="s">
        <v>195</v>
      </c>
      <c r="B85" s="3" t="s">
        <v>196</v>
      </c>
      <c r="C85" s="3" t="s">
        <v>25</v>
      </c>
      <c r="D85" s="3" t="s">
        <v>38</v>
      </c>
      <c r="E85" s="3" t="s">
        <v>14</v>
      </c>
      <c r="F85" s="3" t="s">
        <v>15</v>
      </c>
      <c r="G85" s="3">
        <v>3</v>
      </c>
      <c r="H85" s="3">
        <v>1200</v>
      </c>
      <c r="I85" s="3">
        <v>3600</v>
      </c>
      <c r="J85" s="3" t="s">
        <v>22</v>
      </c>
    </row>
    <row r="86" spans="1:10" ht="21.75" customHeight="1" x14ac:dyDescent="0.25">
      <c r="A86" s="3" t="s">
        <v>197</v>
      </c>
      <c r="B86" s="3" t="s">
        <v>99</v>
      </c>
      <c r="C86" s="3" t="s">
        <v>32</v>
      </c>
      <c r="D86" s="3" t="s">
        <v>26</v>
      </c>
      <c r="E86" s="3" t="s">
        <v>14</v>
      </c>
      <c r="F86" s="3" t="s">
        <v>68</v>
      </c>
      <c r="G86" s="3">
        <v>4</v>
      </c>
      <c r="H86" s="3">
        <v>500</v>
      </c>
      <c r="I86" s="3">
        <v>2000</v>
      </c>
      <c r="J86" s="3" t="s">
        <v>29</v>
      </c>
    </row>
    <row r="87" spans="1:10" ht="21.75" customHeight="1" x14ac:dyDescent="0.25">
      <c r="A87" s="3" t="s">
        <v>198</v>
      </c>
      <c r="B87" s="3" t="s">
        <v>47</v>
      </c>
      <c r="C87" s="3" t="s">
        <v>25</v>
      </c>
      <c r="D87" s="3" t="s">
        <v>49</v>
      </c>
      <c r="E87" s="3" t="s">
        <v>20</v>
      </c>
      <c r="F87" s="3" t="s">
        <v>112</v>
      </c>
      <c r="G87" s="3">
        <v>5</v>
      </c>
      <c r="H87" s="3">
        <v>1200</v>
      </c>
      <c r="I87" s="3">
        <v>6000</v>
      </c>
      <c r="J87" s="3" t="s">
        <v>16</v>
      </c>
    </row>
    <row r="88" spans="1:10" ht="21.75" customHeight="1" x14ac:dyDescent="0.25">
      <c r="A88" s="3" t="s">
        <v>199</v>
      </c>
      <c r="B88" s="3" t="s">
        <v>200</v>
      </c>
      <c r="C88" s="3" t="s">
        <v>60</v>
      </c>
      <c r="D88" s="3" t="s">
        <v>26</v>
      </c>
      <c r="E88" s="3" t="s">
        <v>27</v>
      </c>
      <c r="F88" s="3" t="s">
        <v>42</v>
      </c>
      <c r="G88" s="3">
        <v>2</v>
      </c>
      <c r="H88" s="3">
        <v>3000</v>
      </c>
      <c r="I88" s="3">
        <v>6000</v>
      </c>
      <c r="J88" s="3" t="s">
        <v>16</v>
      </c>
    </row>
    <row r="89" spans="1:10" ht="21.75" customHeight="1" x14ac:dyDescent="0.25">
      <c r="A89" s="3" t="s">
        <v>201</v>
      </c>
      <c r="B89" s="3" t="s">
        <v>202</v>
      </c>
      <c r="C89" s="3" t="s">
        <v>25</v>
      </c>
      <c r="D89" s="3" t="s">
        <v>26</v>
      </c>
      <c r="E89" s="3" t="s">
        <v>14</v>
      </c>
      <c r="F89" s="3" t="s">
        <v>57</v>
      </c>
      <c r="G89" s="3">
        <v>2</v>
      </c>
      <c r="H89" s="3">
        <v>1800</v>
      </c>
      <c r="I89" s="3">
        <v>3600</v>
      </c>
      <c r="J89" s="3" t="s">
        <v>16</v>
      </c>
    </row>
    <row r="90" spans="1:10" ht="21.75" customHeight="1" x14ac:dyDescent="0.25">
      <c r="A90" s="3" t="s">
        <v>203</v>
      </c>
      <c r="B90" s="3" t="s">
        <v>204</v>
      </c>
      <c r="C90" s="3" t="s">
        <v>48</v>
      </c>
      <c r="D90" s="3" t="s">
        <v>38</v>
      </c>
      <c r="E90" s="3" t="s">
        <v>20</v>
      </c>
      <c r="F90" s="3" t="s">
        <v>112</v>
      </c>
      <c r="G90" s="3">
        <v>2</v>
      </c>
      <c r="H90" s="3">
        <v>1200</v>
      </c>
      <c r="I90" s="3">
        <v>2400</v>
      </c>
      <c r="J90" s="3" t="s">
        <v>53</v>
      </c>
    </row>
    <row r="91" spans="1:10" ht="21.75" customHeight="1" x14ac:dyDescent="0.25">
      <c r="A91" s="3" t="s">
        <v>205</v>
      </c>
      <c r="B91" s="3" t="s">
        <v>202</v>
      </c>
      <c r="C91" s="3" t="s">
        <v>52</v>
      </c>
      <c r="D91" s="3" t="s">
        <v>38</v>
      </c>
      <c r="E91" s="3" t="s">
        <v>27</v>
      </c>
      <c r="F91" s="3" t="s">
        <v>28</v>
      </c>
      <c r="G91" s="3">
        <v>5</v>
      </c>
      <c r="H91" s="3">
        <v>300</v>
      </c>
      <c r="I91" s="3">
        <v>1500</v>
      </c>
      <c r="J91" s="3" t="s">
        <v>16</v>
      </c>
    </row>
    <row r="92" spans="1:10" ht="21.75" customHeight="1" x14ac:dyDescent="0.25">
      <c r="A92" s="3" t="s">
        <v>206</v>
      </c>
      <c r="B92" s="3" t="s">
        <v>11</v>
      </c>
      <c r="C92" s="3" t="s">
        <v>56</v>
      </c>
      <c r="D92" s="3" t="s">
        <v>26</v>
      </c>
      <c r="E92" s="3" t="s">
        <v>14</v>
      </c>
      <c r="F92" s="3" t="s">
        <v>57</v>
      </c>
      <c r="G92" s="3">
        <v>4</v>
      </c>
      <c r="H92" s="3">
        <v>1800</v>
      </c>
      <c r="I92" s="3">
        <v>7200</v>
      </c>
      <c r="J92" s="3" t="s">
        <v>16</v>
      </c>
    </row>
    <row r="93" spans="1:10" ht="21.75" customHeight="1" x14ac:dyDescent="0.25">
      <c r="A93" s="3" t="s">
        <v>207</v>
      </c>
      <c r="B93" s="3" t="s">
        <v>44</v>
      </c>
      <c r="C93" s="3" t="s">
        <v>45</v>
      </c>
      <c r="D93" s="3" t="s">
        <v>49</v>
      </c>
      <c r="E93" s="3" t="s">
        <v>20</v>
      </c>
      <c r="F93" s="3" t="s">
        <v>75</v>
      </c>
      <c r="G93" s="3">
        <v>3</v>
      </c>
      <c r="H93" s="3">
        <v>800</v>
      </c>
      <c r="I93" s="3">
        <v>2400</v>
      </c>
      <c r="J93" s="3" t="s">
        <v>22</v>
      </c>
    </row>
    <row r="94" spans="1:10" ht="21.75" customHeight="1" x14ac:dyDescent="0.25">
      <c r="A94" s="3" t="s">
        <v>208</v>
      </c>
      <c r="B94" s="3" t="s">
        <v>209</v>
      </c>
      <c r="C94" s="3" t="s">
        <v>25</v>
      </c>
      <c r="D94" s="3" t="s">
        <v>26</v>
      </c>
      <c r="E94" s="3" t="s">
        <v>27</v>
      </c>
      <c r="F94" s="3" t="s">
        <v>103</v>
      </c>
      <c r="G94" s="3">
        <v>2</v>
      </c>
      <c r="H94" s="3">
        <v>4500</v>
      </c>
      <c r="I94" s="3">
        <v>9000</v>
      </c>
      <c r="J94" s="3" t="s">
        <v>22</v>
      </c>
    </row>
    <row r="95" spans="1:10" ht="21.75" customHeight="1" x14ac:dyDescent="0.25">
      <c r="A95" s="3" t="s">
        <v>210</v>
      </c>
      <c r="B95" s="3" t="s">
        <v>211</v>
      </c>
      <c r="C95" s="3" t="s">
        <v>56</v>
      </c>
      <c r="D95" s="3" t="s">
        <v>13</v>
      </c>
      <c r="E95" s="3" t="s">
        <v>27</v>
      </c>
      <c r="F95" s="3" t="s">
        <v>97</v>
      </c>
      <c r="G95" s="3">
        <v>2</v>
      </c>
      <c r="H95" s="3">
        <v>700</v>
      </c>
      <c r="I95" s="3">
        <v>1400</v>
      </c>
      <c r="J95" s="3" t="s">
        <v>115</v>
      </c>
    </row>
    <row r="96" spans="1:10" ht="21.75" customHeight="1" x14ac:dyDescent="0.25">
      <c r="A96" s="3" t="s">
        <v>212</v>
      </c>
      <c r="B96" s="3" t="s">
        <v>213</v>
      </c>
      <c r="C96" s="3" t="s">
        <v>25</v>
      </c>
      <c r="D96" s="3" t="s">
        <v>49</v>
      </c>
      <c r="E96" s="3" t="s">
        <v>27</v>
      </c>
      <c r="F96" s="3" t="s">
        <v>97</v>
      </c>
      <c r="G96" s="3">
        <v>2</v>
      </c>
      <c r="H96" s="3">
        <v>700</v>
      </c>
      <c r="I96" s="3">
        <v>1400</v>
      </c>
      <c r="J96" s="3" t="s">
        <v>22</v>
      </c>
    </row>
    <row r="97" spans="1:10" ht="21.75" customHeight="1" x14ac:dyDescent="0.25">
      <c r="A97" s="3" t="s">
        <v>214</v>
      </c>
      <c r="B97" s="3" t="s">
        <v>215</v>
      </c>
      <c r="C97" s="3" t="s">
        <v>60</v>
      </c>
      <c r="D97" s="3" t="s">
        <v>38</v>
      </c>
      <c r="E97" s="3" t="s">
        <v>14</v>
      </c>
      <c r="F97" s="3" t="s">
        <v>57</v>
      </c>
      <c r="G97" s="3">
        <v>3</v>
      </c>
      <c r="H97" s="3">
        <v>1800</v>
      </c>
      <c r="I97" s="3">
        <v>5400</v>
      </c>
      <c r="J97" s="3" t="s">
        <v>115</v>
      </c>
    </row>
    <row r="98" spans="1:10" ht="21.75" customHeight="1" x14ac:dyDescent="0.25">
      <c r="A98" s="3" t="s">
        <v>216</v>
      </c>
      <c r="B98" s="3" t="s">
        <v>126</v>
      </c>
      <c r="C98" s="3" t="s">
        <v>19</v>
      </c>
      <c r="D98" s="3" t="s">
        <v>26</v>
      </c>
      <c r="E98" s="3" t="s">
        <v>20</v>
      </c>
      <c r="F98" s="3" t="s">
        <v>21</v>
      </c>
      <c r="G98" s="3">
        <v>3</v>
      </c>
      <c r="H98" s="3">
        <v>3500</v>
      </c>
      <c r="I98" s="3">
        <v>10500</v>
      </c>
      <c r="J98" s="3" t="s">
        <v>22</v>
      </c>
    </row>
    <row r="99" spans="1:10" ht="21.75" customHeight="1" x14ac:dyDescent="0.25">
      <c r="A99" s="3" t="s">
        <v>217</v>
      </c>
      <c r="B99" s="3" t="s">
        <v>218</v>
      </c>
      <c r="C99" s="3" t="s">
        <v>56</v>
      </c>
      <c r="D99" s="3" t="s">
        <v>49</v>
      </c>
      <c r="E99" s="3" t="s">
        <v>14</v>
      </c>
      <c r="F99" s="3" t="s">
        <v>68</v>
      </c>
      <c r="G99" s="3">
        <v>2</v>
      </c>
      <c r="H99" s="3">
        <v>500</v>
      </c>
      <c r="I99" s="3">
        <v>1000</v>
      </c>
      <c r="J99" s="3" t="s">
        <v>29</v>
      </c>
    </row>
    <row r="100" spans="1:10" ht="21.75" customHeight="1" x14ac:dyDescent="0.25">
      <c r="A100" s="3" t="s">
        <v>219</v>
      </c>
      <c r="B100" s="3" t="s">
        <v>184</v>
      </c>
      <c r="C100" s="3" t="s">
        <v>45</v>
      </c>
      <c r="D100" s="3" t="s">
        <v>26</v>
      </c>
      <c r="E100" s="3" t="s">
        <v>20</v>
      </c>
      <c r="F100" s="3" t="s">
        <v>75</v>
      </c>
      <c r="G100" s="3">
        <v>4</v>
      </c>
      <c r="H100" s="3">
        <v>800</v>
      </c>
      <c r="I100" s="3">
        <v>3200</v>
      </c>
      <c r="J100" s="3" t="s">
        <v>16</v>
      </c>
    </row>
    <row r="101" spans="1:10" ht="21.75" customHeight="1" x14ac:dyDescent="0.25">
      <c r="A101" s="3" t="s">
        <v>220</v>
      </c>
      <c r="B101" s="3" t="s">
        <v>221</v>
      </c>
      <c r="C101" s="3" t="s">
        <v>25</v>
      </c>
      <c r="D101" s="3" t="s">
        <v>26</v>
      </c>
      <c r="E101" s="3" t="s">
        <v>14</v>
      </c>
      <c r="F101" s="3" t="s">
        <v>33</v>
      </c>
      <c r="G101" s="3">
        <v>4</v>
      </c>
      <c r="H101" s="3">
        <v>2500</v>
      </c>
      <c r="I101" s="3">
        <v>10000</v>
      </c>
      <c r="J101" s="3" t="s">
        <v>53</v>
      </c>
    </row>
    <row r="102" spans="1:10" ht="21.75" customHeight="1" x14ac:dyDescent="0.25">
      <c r="A102" s="3" t="s">
        <v>222</v>
      </c>
      <c r="B102" s="3" t="s">
        <v>223</v>
      </c>
      <c r="C102" s="3" t="s">
        <v>81</v>
      </c>
      <c r="D102" s="3" t="s">
        <v>49</v>
      </c>
      <c r="E102" s="3" t="s">
        <v>20</v>
      </c>
      <c r="F102" s="3" t="s">
        <v>21</v>
      </c>
      <c r="G102" s="3">
        <v>5</v>
      </c>
      <c r="H102" s="3">
        <v>3500</v>
      </c>
      <c r="I102" s="3">
        <v>17500</v>
      </c>
      <c r="J102" s="3" t="s">
        <v>22</v>
      </c>
    </row>
    <row r="103" spans="1:10" ht="21.75" customHeight="1" x14ac:dyDescent="0.25">
      <c r="A103" s="3" t="s">
        <v>224</v>
      </c>
      <c r="B103" s="3" t="s">
        <v>225</v>
      </c>
      <c r="C103" s="3" t="s">
        <v>32</v>
      </c>
      <c r="D103" s="3" t="s">
        <v>49</v>
      </c>
      <c r="E103" s="3" t="s">
        <v>27</v>
      </c>
      <c r="F103" s="3" t="s">
        <v>28</v>
      </c>
      <c r="G103" s="3">
        <v>2</v>
      </c>
      <c r="H103" s="3">
        <v>300</v>
      </c>
      <c r="I103" s="3">
        <v>600</v>
      </c>
      <c r="J103" s="3" t="s">
        <v>115</v>
      </c>
    </row>
    <row r="104" spans="1:10" ht="21.75" customHeight="1" x14ac:dyDescent="0.25">
      <c r="A104" s="3" t="s">
        <v>226</v>
      </c>
      <c r="B104" s="3" t="s">
        <v>227</v>
      </c>
      <c r="C104" s="3" t="s">
        <v>56</v>
      </c>
      <c r="D104" s="3" t="s">
        <v>26</v>
      </c>
      <c r="E104" s="3" t="s">
        <v>14</v>
      </c>
      <c r="F104" s="3" t="s">
        <v>33</v>
      </c>
      <c r="G104" s="3">
        <v>1</v>
      </c>
      <c r="H104" s="3">
        <v>2500</v>
      </c>
      <c r="I104" s="3">
        <v>2500</v>
      </c>
      <c r="J104" s="3" t="s">
        <v>65</v>
      </c>
    </row>
    <row r="105" spans="1:10" ht="21.75" customHeight="1" x14ac:dyDescent="0.25">
      <c r="A105" s="3" t="s">
        <v>228</v>
      </c>
      <c r="B105" s="3" t="s">
        <v>229</v>
      </c>
      <c r="C105" s="3" t="s">
        <v>19</v>
      </c>
      <c r="D105" s="3" t="s">
        <v>13</v>
      </c>
      <c r="E105" s="3" t="s">
        <v>14</v>
      </c>
      <c r="F105" s="3" t="s">
        <v>84</v>
      </c>
      <c r="G105" s="3">
        <v>5</v>
      </c>
      <c r="H105" s="3">
        <v>900</v>
      </c>
      <c r="I105" s="3">
        <v>4500</v>
      </c>
      <c r="J105" s="3" t="s">
        <v>115</v>
      </c>
    </row>
    <row r="106" spans="1:10" ht="21.75" customHeight="1" x14ac:dyDescent="0.25">
      <c r="A106" s="3" t="s">
        <v>230</v>
      </c>
      <c r="B106" s="3" t="s">
        <v>41</v>
      </c>
      <c r="C106" s="3" t="s">
        <v>52</v>
      </c>
      <c r="D106" s="3" t="s">
        <v>13</v>
      </c>
      <c r="E106" s="3" t="s">
        <v>20</v>
      </c>
      <c r="F106" s="3" t="s">
        <v>39</v>
      </c>
      <c r="G106" s="3">
        <v>5</v>
      </c>
      <c r="H106" s="3">
        <v>600</v>
      </c>
      <c r="I106" s="3">
        <v>3000</v>
      </c>
      <c r="J106" s="3" t="s">
        <v>29</v>
      </c>
    </row>
    <row r="107" spans="1:10" ht="21.75" customHeight="1" x14ac:dyDescent="0.25">
      <c r="A107" s="3" t="s">
        <v>231</v>
      </c>
      <c r="B107" s="3" t="s">
        <v>232</v>
      </c>
      <c r="C107" s="3" t="s">
        <v>12</v>
      </c>
      <c r="D107" s="3" t="s">
        <v>13</v>
      </c>
      <c r="E107" s="3" t="s">
        <v>14</v>
      </c>
      <c r="F107" s="3" t="s">
        <v>84</v>
      </c>
      <c r="G107" s="3">
        <v>2</v>
      </c>
      <c r="H107" s="3">
        <v>900</v>
      </c>
      <c r="I107" s="3">
        <v>1800</v>
      </c>
      <c r="J107" s="3" t="s">
        <v>53</v>
      </c>
    </row>
    <row r="108" spans="1:10" ht="21.75" customHeight="1" x14ac:dyDescent="0.25">
      <c r="A108" s="3" t="s">
        <v>233</v>
      </c>
      <c r="B108" s="3" t="s">
        <v>234</v>
      </c>
      <c r="C108" s="3" t="s">
        <v>12</v>
      </c>
      <c r="D108" s="3" t="s">
        <v>26</v>
      </c>
      <c r="E108" s="3" t="s">
        <v>27</v>
      </c>
      <c r="F108" s="3" t="s">
        <v>42</v>
      </c>
      <c r="G108" s="3">
        <v>4</v>
      </c>
      <c r="H108" s="3">
        <v>3000</v>
      </c>
      <c r="I108" s="3">
        <v>12000</v>
      </c>
      <c r="J108" s="3" t="s">
        <v>29</v>
      </c>
    </row>
    <row r="109" spans="1:10" ht="21.75" customHeight="1" x14ac:dyDescent="0.25">
      <c r="A109" s="3" t="s">
        <v>235</v>
      </c>
      <c r="B109" s="3" t="s">
        <v>236</v>
      </c>
      <c r="C109" s="3" t="s">
        <v>81</v>
      </c>
      <c r="D109" s="3" t="s">
        <v>49</v>
      </c>
      <c r="E109" s="3" t="s">
        <v>20</v>
      </c>
      <c r="F109" s="3" t="s">
        <v>92</v>
      </c>
      <c r="G109" s="3">
        <v>4</v>
      </c>
      <c r="H109" s="3">
        <v>1500</v>
      </c>
      <c r="I109" s="3">
        <v>6000</v>
      </c>
      <c r="J109" s="3" t="s">
        <v>22</v>
      </c>
    </row>
    <row r="110" spans="1:10" ht="21.75" customHeight="1" x14ac:dyDescent="0.25">
      <c r="A110" s="3" t="s">
        <v>237</v>
      </c>
      <c r="B110" s="3" t="s">
        <v>238</v>
      </c>
      <c r="C110" s="3" t="s">
        <v>48</v>
      </c>
      <c r="D110" s="3" t="s">
        <v>26</v>
      </c>
      <c r="E110" s="3" t="s">
        <v>27</v>
      </c>
      <c r="F110" s="3" t="s">
        <v>42</v>
      </c>
      <c r="G110" s="3">
        <v>2</v>
      </c>
      <c r="H110" s="3">
        <v>3000</v>
      </c>
      <c r="I110" s="3">
        <v>6000</v>
      </c>
      <c r="J110" s="3" t="s">
        <v>53</v>
      </c>
    </row>
    <row r="111" spans="1:10" ht="21.75" customHeight="1" x14ac:dyDescent="0.25">
      <c r="A111" s="3" t="s">
        <v>239</v>
      </c>
      <c r="B111" s="3" t="s">
        <v>156</v>
      </c>
      <c r="C111" s="3" t="s">
        <v>19</v>
      </c>
      <c r="D111" s="3" t="s">
        <v>38</v>
      </c>
      <c r="E111" s="3" t="s">
        <v>14</v>
      </c>
      <c r="F111" s="3" t="s">
        <v>68</v>
      </c>
      <c r="G111" s="3">
        <v>2</v>
      </c>
      <c r="H111" s="3">
        <v>500</v>
      </c>
      <c r="I111" s="3">
        <v>1000</v>
      </c>
      <c r="J111" s="3" t="s">
        <v>22</v>
      </c>
    </row>
    <row r="112" spans="1:10" ht="21.75" customHeight="1" x14ac:dyDescent="0.25">
      <c r="A112" s="3" t="s">
        <v>240</v>
      </c>
      <c r="B112" s="3" t="s">
        <v>77</v>
      </c>
      <c r="C112" s="3" t="s">
        <v>60</v>
      </c>
      <c r="D112" s="3" t="s">
        <v>49</v>
      </c>
      <c r="E112" s="3" t="s">
        <v>27</v>
      </c>
      <c r="F112" s="3" t="s">
        <v>103</v>
      </c>
      <c r="G112" s="3">
        <v>3</v>
      </c>
      <c r="H112" s="3">
        <v>4500</v>
      </c>
      <c r="I112" s="3">
        <v>13500</v>
      </c>
      <c r="J112" s="3" t="s">
        <v>53</v>
      </c>
    </row>
    <row r="113" spans="1:10" ht="21.75" customHeight="1" x14ac:dyDescent="0.25">
      <c r="A113" s="3" t="s">
        <v>241</v>
      </c>
      <c r="B113" s="3" t="s">
        <v>242</v>
      </c>
      <c r="C113" s="3" t="s">
        <v>25</v>
      </c>
      <c r="D113" s="3" t="s">
        <v>38</v>
      </c>
      <c r="E113" s="3" t="s">
        <v>27</v>
      </c>
      <c r="F113" s="3" t="s">
        <v>103</v>
      </c>
      <c r="G113" s="3">
        <v>3</v>
      </c>
      <c r="H113" s="3">
        <v>4500</v>
      </c>
      <c r="I113" s="3">
        <v>13500</v>
      </c>
      <c r="J113" s="3" t="s">
        <v>115</v>
      </c>
    </row>
    <row r="114" spans="1:10" ht="21.75" customHeight="1" x14ac:dyDescent="0.25">
      <c r="A114" s="3" t="s">
        <v>243</v>
      </c>
      <c r="B114" s="3" t="s">
        <v>244</v>
      </c>
      <c r="C114" s="3" t="s">
        <v>52</v>
      </c>
      <c r="D114" s="3" t="s">
        <v>13</v>
      </c>
      <c r="E114" s="3" t="s">
        <v>14</v>
      </c>
      <c r="F114" s="3" t="s">
        <v>33</v>
      </c>
      <c r="G114" s="3">
        <v>2</v>
      </c>
      <c r="H114" s="3">
        <v>2500</v>
      </c>
      <c r="I114" s="3">
        <v>5000</v>
      </c>
      <c r="J114" s="3" t="s">
        <v>65</v>
      </c>
    </row>
    <row r="115" spans="1:10" ht="21.75" customHeight="1" x14ac:dyDescent="0.25">
      <c r="A115" s="3" t="s">
        <v>245</v>
      </c>
      <c r="B115" s="3" t="s">
        <v>246</v>
      </c>
      <c r="C115" s="3" t="s">
        <v>12</v>
      </c>
      <c r="D115" s="3" t="s">
        <v>38</v>
      </c>
      <c r="E115" s="3" t="s">
        <v>14</v>
      </c>
      <c r="F115" s="3" t="s">
        <v>33</v>
      </c>
      <c r="G115" s="3">
        <v>4</v>
      </c>
      <c r="H115" s="3">
        <v>2500</v>
      </c>
      <c r="I115" s="3">
        <v>10000</v>
      </c>
      <c r="J115" s="3" t="s">
        <v>53</v>
      </c>
    </row>
    <row r="116" spans="1:10" ht="21.75" customHeight="1" x14ac:dyDescent="0.25">
      <c r="A116" s="3" t="s">
        <v>247</v>
      </c>
      <c r="B116" s="3" t="s">
        <v>31</v>
      </c>
      <c r="C116" s="3" t="s">
        <v>25</v>
      </c>
      <c r="D116" s="3" t="s">
        <v>49</v>
      </c>
      <c r="E116" s="3" t="s">
        <v>20</v>
      </c>
      <c r="F116" s="3" t="s">
        <v>21</v>
      </c>
      <c r="G116" s="3">
        <v>5</v>
      </c>
      <c r="H116" s="3">
        <v>3500</v>
      </c>
      <c r="I116" s="3">
        <v>17500</v>
      </c>
      <c r="J116" s="3" t="s">
        <v>22</v>
      </c>
    </row>
    <row r="117" spans="1:10" ht="21.75" customHeight="1" x14ac:dyDescent="0.25">
      <c r="A117" s="3" t="s">
        <v>248</v>
      </c>
      <c r="B117" s="3" t="s">
        <v>158</v>
      </c>
      <c r="C117" s="3" t="s">
        <v>25</v>
      </c>
      <c r="D117" s="3" t="s">
        <v>26</v>
      </c>
      <c r="E117" s="3" t="s">
        <v>14</v>
      </c>
      <c r="F117" s="3" t="s">
        <v>68</v>
      </c>
      <c r="G117" s="3">
        <v>1</v>
      </c>
      <c r="H117" s="3">
        <v>500</v>
      </c>
      <c r="I117" s="3">
        <v>500</v>
      </c>
      <c r="J117" s="3" t="s">
        <v>115</v>
      </c>
    </row>
    <row r="118" spans="1:10" ht="21.75" customHeight="1" x14ac:dyDescent="0.25">
      <c r="A118" s="3" t="s">
        <v>249</v>
      </c>
      <c r="B118" s="3" t="s">
        <v>250</v>
      </c>
      <c r="C118" s="3" t="s">
        <v>81</v>
      </c>
      <c r="D118" s="3" t="s">
        <v>49</v>
      </c>
      <c r="E118" s="3" t="s">
        <v>27</v>
      </c>
      <c r="F118" s="3" t="s">
        <v>78</v>
      </c>
      <c r="G118" s="3">
        <v>2</v>
      </c>
      <c r="H118" s="3">
        <v>2200</v>
      </c>
      <c r="I118" s="3">
        <v>4400</v>
      </c>
      <c r="J118" s="3" t="s">
        <v>65</v>
      </c>
    </row>
    <row r="119" spans="1:10" ht="21.75" customHeight="1" x14ac:dyDescent="0.25">
      <c r="A119" s="3" t="s">
        <v>251</v>
      </c>
      <c r="B119" s="3" t="s">
        <v>35</v>
      </c>
      <c r="C119" s="3" t="s">
        <v>48</v>
      </c>
      <c r="D119" s="3" t="s">
        <v>49</v>
      </c>
      <c r="E119" s="3" t="s">
        <v>27</v>
      </c>
      <c r="F119" s="3" t="s">
        <v>28</v>
      </c>
      <c r="G119" s="3">
        <v>2</v>
      </c>
      <c r="H119" s="3">
        <v>300</v>
      </c>
      <c r="I119" s="3">
        <v>600</v>
      </c>
      <c r="J119" s="3" t="s">
        <v>16</v>
      </c>
    </row>
    <row r="120" spans="1:10" ht="21.75" customHeight="1" x14ac:dyDescent="0.25">
      <c r="A120" s="3" t="s">
        <v>252</v>
      </c>
      <c r="B120" s="3" t="s">
        <v>218</v>
      </c>
      <c r="C120" s="3" t="s">
        <v>19</v>
      </c>
      <c r="D120" s="3" t="s">
        <v>49</v>
      </c>
      <c r="E120" s="3" t="s">
        <v>14</v>
      </c>
      <c r="F120" s="3" t="s">
        <v>84</v>
      </c>
      <c r="G120" s="3">
        <v>4</v>
      </c>
      <c r="H120" s="3">
        <v>900</v>
      </c>
      <c r="I120" s="3">
        <v>3600</v>
      </c>
      <c r="J120" s="3" t="s">
        <v>29</v>
      </c>
    </row>
    <row r="121" spans="1:10" ht="21.75" customHeight="1" x14ac:dyDescent="0.25">
      <c r="A121" s="3" t="s">
        <v>253</v>
      </c>
      <c r="B121" s="3" t="s">
        <v>254</v>
      </c>
      <c r="C121" s="3" t="s">
        <v>52</v>
      </c>
      <c r="D121" s="3" t="s">
        <v>26</v>
      </c>
      <c r="E121" s="3" t="s">
        <v>14</v>
      </c>
      <c r="F121" s="3" t="s">
        <v>15</v>
      </c>
      <c r="G121" s="3">
        <v>5</v>
      </c>
      <c r="H121" s="3">
        <v>1200</v>
      </c>
      <c r="I121" s="3">
        <v>6000</v>
      </c>
      <c r="J121" s="3" t="s">
        <v>115</v>
      </c>
    </row>
    <row r="122" spans="1:10" ht="21.75" customHeight="1" x14ac:dyDescent="0.25">
      <c r="A122" s="3" t="s">
        <v>255</v>
      </c>
      <c r="B122" s="3" t="s">
        <v>256</v>
      </c>
      <c r="C122" s="3" t="s">
        <v>81</v>
      </c>
      <c r="D122" s="3" t="s">
        <v>38</v>
      </c>
      <c r="E122" s="3" t="s">
        <v>20</v>
      </c>
      <c r="F122" s="3" t="s">
        <v>92</v>
      </c>
      <c r="G122" s="3">
        <v>1</v>
      </c>
      <c r="H122" s="3">
        <v>1500</v>
      </c>
      <c r="I122" s="3">
        <v>1500</v>
      </c>
      <c r="J122" s="3" t="s">
        <v>22</v>
      </c>
    </row>
    <row r="123" spans="1:10" ht="21.75" customHeight="1" x14ac:dyDescent="0.25">
      <c r="A123" s="3" t="s">
        <v>257</v>
      </c>
      <c r="B123" s="3" t="s">
        <v>258</v>
      </c>
      <c r="C123" s="3" t="s">
        <v>60</v>
      </c>
      <c r="D123" s="3" t="s">
        <v>49</v>
      </c>
      <c r="E123" s="3" t="s">
        <v>27</v>
      </c>
      <c r="F123" s="3" t="s">
        <v>97</v>
      </c>
      <c r="G123" s="3">
        <v>3</v>
      </c>
      <c r="H123" s="3">
        <v>700</v>
      </c>
      <c r="I123" s="3">
        <v>2100</v>
      </c>
      <c r="J123" s="3" t="s">
        <v>65</v>
      </c>
    </row>
    <row r="124" spans="1:10" ht="21.75" customHeight="1" x14ac:dyDescent="0.25">
      <c r="A124" s="3" t="s">
        <v>259</v>
      </c>
      <c r="B124" s="3" t="s">
        <v>72</v>
      </c>
      <c r="C124" s="3" t="s">
        <v>60</v>
      </c>
      <c r="D124" s="3" t="s">
        <v>26</v>
      </c>
      <c r="E124" s="3" t="s">
        <v>27</v>
      </c>
      <c r="F124" s="3" t="s">
        <v>78</v>
      </c>
      <c r="G124" s="3">
        <v>2</v>
      </c>
      <c r="H124" s="3">
        <v>2200</v>
      </c>
      <c r="I124" s="3">
        <v>4400</v>
      </c>
      <c r="J124" s="3" t="s">
        <v>65</v>
      </c>
    </row>
    <row r="125" spans="1:10" ht="21.75" customHeight="1" x14ac:dyDescent="0.25">
      <c r="A125" s="3" t="s">
        <v>260</v>
      </c>
      <c r="B125" s="3" t="s">
        <v>254</v>
      </c>
      <c r="C125" s="3" t="s">
        <v>81</v>
      </c>
      <c r="D125" s="3" t="s">
        <v>49</v>
      </c>
      <c r="E125" s="3" t="s">
        <v>14</v>
      </c>
      <c r="F125" s="3" t="s">
        <v>84</v>
      </c>
      <c r="G125" s="3">
        <v>1</v>
      </c>
      <c r="H125" s="3">
        <v>900</v>
      </c>
      <c r="I125" s="3">
        <v>900</v>
      </c>
      <c r="J125" s="3" t="s">
        <v>115</v>
      </c>
    </row>
    <row r="126" spans="1:10" ht="21.75" customHeight="1" x14ac:dyDescent="0.25">
      <c r="A126" s="3" t="s">
        <v>261</v>
      </c>
      <c r="B126" s="3" t="s">
        <v>262</v>
      </c>
      <c r="C126" s="3" t="s">
        <v>60</v>
      </c>
      <c r="D126" s="3" t="s">
        <v>49</v>
      </c>
      <c r="E126" s="3" t="s">
        <v>20</v>
      </c>
      <c r="F126" s="3" t="s">
        <v>112</v>
      </c>
      <c r="G126" s="3">
        <v>3</v>
      </c>
      <c r="H126" s="3">
        <v>1200</v>
      </c>
      <c r="I126" s="3">
        <v>3600</v>
      </c>
      <c r="J126" s="3" t="s">
        <v>16</v>
      </c>
    </row>
    <row r="127" spans="1:10" ht="21.75" customHeight="1" x14ac:dyDescent="0.25">
      <c r="A127" s="3" t="s">
        <v>263</v>
      </c>
      <c r="B127" s="3" t="s">
        <v>264</v>
      </c>
      <c r="C127" s="3" t="s">
        <v>19</v>
      </c>
      <c r="D127" s="3" t="s">
        <v>38</v>
      </c>
      <c r="E127" s="3" t="s">
        <v>20</v>
      </c>
      <c r="F127" s="3" t="s">
        <v>75</v>
      </c>
      <c r="G127" s="3">
        <v>3</v>
      </c>
      <c r="H127" s="3">
        <v>800</v>
      </c>
      <c r="I127" s="3">
        <v>2400</v>
      </c>
      <c r="J127" s="3" t="s">
        <v>16</v>
      </c>
    </row>
    <row r="128" spans="1:10" ht="21.75" customHeight="1" x14ac:dyDescent="0.25">
      <c r="A128" s="3" t="s">
        <v>265</v>
      </c>
      <c r="B128" s="3" t="s">
        <v>266</v>
      </c>
      <c r="C128" s="3" t="s">
        <v>56</v>
      </c>
      <c r="D128" s="3" t="s">
        <v>26</v>
      </c>
      <c r="E128" s="3" t="s">
        <v>20</v>
      </c>
      <c r="F128" s="3" t="s">
        <v>21</v>
      </c>
      <c r="G128" s="3">
        <v>1</v>
      </c>
      <c r="H128" s="3">
        <v>3500</v>
      </c>
      <c r="I128" s="3">
        <v>3500</v>
      </c>
      <c r="J128" s="3" t="s">
        <v>16</v>
      </c>
    </row>
    <row r="129" spans="1:10" ht="21.75" customHeight="1" x14ac:dyDescent="0.25">
      <c r="A129" s="3" t="s">
        <v>267</v>
      </c>
      <c r="B129" s="3" t="s">
        <v>268</v>
      </c>
      <c r="C129" s="3" t="s">
        <v>45</v>
      </c>
      <c r="D129" s="3" t="s">
        <v>13</v>
      </c>
      <c r="E129" s="3" t="s">
        <v>20</v>
      </c>
      <c r="F129" s="3" t="s">
        <v>92</v>
      </c>
      <c r="G129" s="3">
        <v>5</v>
      </c>
      <c r="H129" s="3">
        <v>1500</v>
      </c>
      <c r="I129" s="3">
        <v>7500</v>
      </c>
      <c r="J129" s="3" t="s">
        <v>29</v>
      </c>
    </row>
    <row r="130" spans="1:10" ht="21.75" customHeight="1" x14ac:dyDescent="0.25">
      <c r="A130" s="3" t="s">
        <v>269</v>
      </c>
      <c r="B130" s="3" t="s">
        <v>256</v>
      </c>
      <c r="C130" s="3" t="s">
        <v>56</v>
      </c>
      <c r="D130" s="3" t="s">
        <v>13</v>
      </c>
      <c r="E130" s="3" t="s">
        <v>14</v>
      </c>
      <c r="F130" s="3" t="s">
        <v>68</v>
      </c>
      <c r="G130" s="3">
        <v>3</v>
      </c>
      <c r="H130" s="3">
        <v>500</v>
      </c>
      <c r="I130" s="3">
        <v>1500</v>
      </c>
      <c r="J130" s="3" t="s">
        <v>22</v>
      </c>
    </row>
    <row r="131" spans="1:10" ht="21.75" customHeight="1" x14ac:dyDescent="0.25">
      <c r="A131" s="3" t="s">
        <v>270</v>
      </c>
      <c r="B131" s="3" t="s">
        <v>271</v>
      </c>
      <c r="C131" s="3" t="s">
        <v>25</v>
      </c>
      <c r="D131" s="3" t="s">
        <v>26</v>
      </c>
      <c r="E131" s="3" t="s">
        <v>27</v>
      </c>
      <c r="F131" s="3" t="s">
        <v>97</v>
      </c>
      <c r="G131" s="3">
        <v>2</v>
      </c>
      <c r="H131" s="3">
        <v>700</v>
      </c>
      <c r="I131" s="3">
        <v>1400</v>
      </c>
      <c r="J131" s="3" t="s">
        <v>115</v>
      </c>
    </row>
    <row r="132" spans="1:10" ht="21.75" customHeight="1" x14ac:dyDescent="0.25">
      <c r="A132" s="3" t="s">
        <v>272</v>
      </c>
      <c r="B132" s="3" t="s">
        <v>273</v>
      </c>
      <c r="C132" s="3" t="s">
        <v>81</v>
      </c>
      <c r="D132" s="3" t="s">
        <v>49</v>
      </c>
      <c r="E132" s="3" t="s">
        <v>27</v>
      </c>
      <c r="F132" s="3" t="s">
        <v>97</v>
      </c>
      <c r="G132" s="3">
        <v>1</v>
      </c>
      <c r="H132" s="3">
        <v>700</v>
      </c>
      <c r="I132" s="3">
        <v>700</v>
      </c>
      <c r="J132" s="3" t="s">
        <v>16</v>
      </c>
    </row>
    <row r="133" spans="1:10" ht="21.75" customHeight="1" x14ac:dyDescent="0.25">
      <c r="A133" s="3" t="s">
        <v>274</v>
      </c>
      <c r="B133" s="3" t="s">
        <v>242</v>
      </c>
      <c r="C133" s="3" t="s">
        <v>19</v>
      </c>
      <c r="D133" s="3" t="s">
        <v>49</v>
      </c>
      <c r="E133" s="3" t="s">
        <v>14</v>
      </c>
      <c r="F133" s="3" t="s">
        <v>33</v>
      </c>
      <c r="G133" s="3">
        <v>1</v>
      </c>
      <c r="H133" s="3">
        <v>2500</v>
      </c>
      <c r="I133" s="3">
        <v>2500</v>
      </c>
      <c r="J133" s="3" t="s">
        <v>115</v>
      </c>
    </row>
    <row r="134" spans="1:10" ht="21.75" customHeight="1" x14ac:dyDescent="0.25">
      <c r="A134" s="3" t="s">
        <v>275</v>
      </c>
      <c r="B134" s="3" t="s">
        <v>276</v>
      </c>
      <c r="C134" s="3" t="s">
        <v>52</v>
      </c>
      <c r="D134" s="3" t="s">
        <v>49</v>
      </c>
      <c r="E134" s="3" t="s">
        <v>14</v>
      </c>
      <c r="F134" s="3" t="s">
        <v>57</v>
      </c>
      <c r="G134" s="3">
        <v>5</v>
      </c>
      <c r="H134" s="3">
        <v>1800</v>
      </c>
      <c r="I134" s="3">
        <v>9000</v>
      </c>
      <c r="J134" s="3" t="s">
        <v>115</v>
      </c>
    </row>
    <row r="135" spans="1:10" ht="21.75" customHeight="1" x14ac:dyDescent="0.25">
      <c r="A135" s="3" t="s">
        <v>277</v>
      </c>
      <c r="B135" s="3" t="s">
        <v>213</v>
      </c>
      <c r="C135" s="3" t="s">
        <v>81</v>
      </c>
      <c r="D135" s="3" t="s">
        <v>38</v>
      </c>
      <c r="E135" s="3" t="s">
        <v>14</v>
      </c>
      <c r="F135" s="3" t="s">
        <v>57</v>
      </c>
      <c r="G135" s="3">
        <v>3</v>
      </c>
      <c r="H135" s="3">
        <v>1800</v>
      </c>
      <c r="I135" s="3">
        <v>5400</v>
      </c>
      <c r="J135" s="3" t="s">
        <v>22</v>
      </c>
    </row>
    <row r="136" spans="1:10" ht="21.75" customHeight="1" x14ac:dyDescent="0.25">
      <c r="A136" s="3" t="s">
        <v>278</v>
      </c>
      <c r="B136" s="3" t="s">
        <v>242</v>
      </c>
      <c r="C136" s="3" t="s">
        <v>25</v>
      </c>
      <c r="D136" s="3" t="s">
        <v>49</v>
      </c>
      <c r="E136" s="3" t="s">
        <v>20</v>
      </c>
      <c r="F136" s="3" t="s">
        <v>39</v>
      </c>
      <c r="G136" s="3">
        <v>1</v>
      </c>
      <c r="H136" s="3">
        <v>600</v>
      </c>
      <c r="I136" s="3">
        <v>600</v>
      </c>
      <c r="J136" s="3" t="s">
        <v>115</v>
      </c>
    </row>
    <row r="137" spans="1:10" ht="21.75" customHeight="1" x14ac:dyDescent="0.25">
      <c r="A137" s="3" t="s">
        <v>279</v>
      </c>
      <c r="B137" s="3" t="s">
        <v>280</v>
      </c>
      <c r="C137" s="3" t="s">
        <v>56</v>
      </c>
      <c r="D137" s="3" t="s">
        <v>49</v>
      </c>
      <c r="E137" s="3" t="s">
        <v>14</v>
      </c>
      <c r="F137" s="3" t="s">
        <v>33</v>
      </c>
      <c r="G137" s="3">
        <v>1</v>
      </c>
      <c r="H137" s="3">
        <v>2500</v>
      </c>
      <c r="I137" s="3">
        <v>2500</v>
      </c>
      <c r="J137" s="3" t="s">
        <v>16</v>
      </c>
    </row>
    <row r="138" spans="1:10" ht="21.75" customHeight="1" x14ac:dyDescent="0.25">
      <c r="A138" s="3" t="s">
        <v>281</v>
      </c>
      <c r="B138" s="3" t="s">
        <v>41</v>
      </c>
      <c r="C138" s="3" t="s">
        <v>45</v>
      </c>
      <c r="D138" s="3" t="s">
        <v>38</v>
      </c>
      <c r="E138" s="3" t="s">
        <v>20</v>
      </c>
      <c r="F138" s="3" t="s">
        <v>75</v>
      </c>
      <c r="G138" s="3">
        <v>4</v>
      </c>
      <c r="H138" s="3">
        <v>800</v>
      </c>
      <c r="I138" s="3">
        <v>3200</v>
      </c>
      <c r="J138" s="3" t="s">
        <v>29</v>
      </c>
    </row>
    <row r="139" spans="1:10" ht="21.75" customHeight="1" x14ac:dyDescent="0.25">
      <c r="A139" s="3" t="s">
        <v>282</v>
      </c>
      <c r="B139" s="3" t="s">
        <v>283</v>
      </c>
      <c r="C139" s="3" t="s">
        <v>45</v>
      </c>
      <c r="D139" s="3" t="s">
        <v>26</v>
      </c>
      <c r="E139" s="3" t="s">
        <v>14</v>
      </c>
      <c r="F139" s="3" t="s">
        <v>84</v>
      </c>
      <c r="G139" s="3">
        <v>4</v>
      </c>
      <c r="H139" s="3">
        <v>900</v>
      </c>
      <c r="I139" s="3">
        <v>3600</v>
      </c>
      <c r="J139" s="3" t="s">
        <v>16</v>
      </c>
    </row>
    <row r="140" spans="1:10" ht="21.75" customHeight="1" x14ac:dyDescent="0.25">
      <c r="A140" s="3" t="s">
        <v>284</v>
      </c>
      <c r="B140" s="3" t="s">
        <v>149</v>
      </c>
      <c r="C140" s="3" t="s">
        <v>48</v>
      </c>
      <c r="D140" s="3" t="s">
        <v>26</v>
      </c>
      <c r="E140" s="3" t="s">
        <v>27</v>
      </c>
      <c r="F140" s="3" t="s">
        <v>28</v>
      </c>
      <c r="G140" s="3">
        <v>4</v>
      </c>
      <c r="H140" s="3">
        <v>300</v>
      </c>
      <c r="I140" s="3">
        <v>1200</v>
      </c>
      <c r="J140" s="3" t="s">
        <v>65</v>
      </c>
    </row>
    <row r="141" spans="1:10" ht="21.75" customHeight="1" x14ac:dyDescent="0.25">
      <c r="A141" s="3" t="s">
        <v>285</v>
      </c>
      <c r="B141" s="3" t="s">
        <v>286</v>
      </c>
      <c r="C141" s="3" t="s">
        <v>19</v>
      </c>
      <c r="D141" s="3" t="s">
        <v>13</v>
      </c>
      <c r="E141" s="3" t="s">
        <v>27</v>
      </c>
      <c r="F141" s="3" t="s">
        <v>97</v>
      </c>
      <c r="G141" s="3">
        <v>4</v>
      </c>
      <c r="H141" s="3">
        <v>700</v>
      </c>
      <c r="I141" s="3">
        <v>2800</v>
      </c>
      <c r="J141" s="3" t="s">
        <v>115</v>
      </c>
    </row>
    <row r="142" spans="1:10" ht="21.75" customHeight="1" x14ac:dyDescent="0.25">
      <c r="A142" s="3" t="s">
        <v>287</v>
      </c>
      <c r="B142" s="3" t="s">
        <v>11</v>
      </c>
      <c r="C142" s="3" t="s">
        <v>56</v>
      </c>
      <c r="D142" s="3" t="s">
        <v>26</v>
      </c>
      <c r="E142" s="3" t="s">
        <v>14</v>
      </c>
      <c r="F142" s="3" t="s">
        <v>15</v>
      </c>
      <c r="G142" s="3">
        <v>3</v>
      </c>
      <c r="H142" s="3">
        <v>1200</v>
      </c>
      <c r="I142" s="3">
        <v>3600</v>
      </c>
      <c r="J142" s="3" t="s">
        <v>16</v>
      </c>
    </row>
    <row r="143" spans="1:10" ht="21.75" customHeight="1" x14ac:dyDescent="0.25">
      <c r="A143" s="3" t="s">
        <v>288</v>
      </c>
      <c r="B143" s="3" t="s">
        <v>128</v>
      </c>
      <c r="C143" s="3" t="s">
        <v>48</v>
      </c>
      <c r="D143" s="3" t="s">
        <v>26</v>
      </c>
      <c r="E143" s="3" t="s">
        <v>20</v>
      </c>
      <c r="F143" s="3" t="s">
        <v>75</v>
      </c>
      <c r="G143" s="3">
        <v>2</v>
      </c>
      <c r="H143" s="3">
        <v>800</v>
      </c>
      <c r="I143" s="3">
        <v>1600</v>
      </c>
      <c r="J143" s="3" t="s">
        <v>29</v>
      </c>
    </row>
    <row r="144" spans="1:10" ht="21.75" customHeight="1" x14ac:dyDescent="0.25">
      <c r="A144" s="3" t="s">
        <v>289</v>
      </c>
      <c r="B144" s="3" t="s">
        <v>186</v>
      </c>
      <c r="C144" s="3" t="s">
        <v>52</v>
      </c>
      <c r="D144" s="3" t="s">
        <v>26</v>
      </c>
      <c r="E144" s="3" t="s">
        <v>27</v>
      </c>
      <c r="F144" s="3" t="s">
        <v>103</v>
      </c>
      <c r="G144" s="3">
        <v>3</v>
      </c>
      <c r="H144" s="3">
        <v>4500</v>
      </c>
      <c r="I144" s="3">
        <v>13500</v>
      </c>
      <c r="J144" s="3" t="s">
        <v>22</v>
      </c>
    </row>
    <row r="145" spans="1:10" ht="21.75" customHeight="1" x14ac:dyDescent="0.25">
      <c r="A145" s="3" t="s">
        <v>290</v>
      </c>
      <c r="B145" s="3" t="s">
        <v>291</v>
      </c>
      <c r="C145" s="3" t="s">
        <v>56</v>
      </c>
      <c r="D145" s="3" t="s">
        <v>26</v>
      </c>
      <c r="E145" s="3" t="s">
        <v>14</v>
      </c>
      <c r="F145" s="3" t="s">
        <v>68</v>
      </c>
      <c r="G145" s="3">
        <v>2</v>
      </c>
      <c r="H145" s="3">
        <v>500</v>
      </c>
      <c r="I145" s="3">
        <v>1000</v>
      </c>
      <c r="J145" s="3" t="s">
        <v>16</v>
      </c>
    </row>
    <row r="146" spans="1:10" ht="21.75" customHeight="1" x14ac:dyDescent="0.25">
      <c r="A146" s="3" t="s">
        <v>292</v>
      </c>
      <c r="B146" s="3" t="s">
        <v>293</v>
      </c>
      <c r="C146" s="3" t="s">
        <v>25</v>
      </c>
      <c r="D146" s="3" t="s">
        <v>26</v>
      </c>
      <c r="E146" s="3" t="s">
        <v>27</v>
      </c>
      <c r="F146" s="3" t="s">
        <v>103</v>
      </c>
      <c r="G146" s="3">
        <v>3</v>
      </c>
      <c r="H146" s="3">
        <v>4500</v>
      </c>
      <c r="I146" s="3">
        <v>13500</v>
      </c>
      <c r="J146" s="3" t="s">
        <v>115</v>
      </c>
    </row>
    <row r="147" spans="1:10" ht="21.75" customHeight="1" x14ac:dyDescent="0.25">
      <c r="A147" s="3" t="s">
        <v>294</v>
      </c>
      <c r="B147" s="3" t="s">
        <v>62</v>
      </c>
      <c r="C147" s="3" t="s">
        <v>25</v>
      </c>
      <c r="D147" s="3" t="s">
        <v>26</v>
      </c>
      <c r="E147" s="3" t="s">
        <v>20</v>
      </c>
      <c r="F147" s="3" t="s">
        <v>21</v>
      </c>
      <c r="G147" s="3">
        <v>4</v>
      </c>
      <c r="H147" s="3">
        <v>3500</v>
      </c>
      <c r="I147" s="3">
        <v>14000</v>
      </c>
      <c r="J147" s="3" t="s">
        <v>53</v>
      </c>
    </row>
    <row r="148" spans="1:10" ht="21.75" customHeight="1" x14ac:dyDescent="0.25">
      <c r="A148" s="3" t="s">
        <v>295</v>
      </c>
      <c r="B148" s="3" t="s">
        <v>37</v>
      </c>
      <c r="C148" s="3" t="s">
        <v>60</v>
      </c>
      <c r="D148" s="3" t="s">
        <v>49</v>
      </c>
      <c r="E148" s="3" t="s">
        <v>14</v>
      </c>
      <c r="F148" s="3" t="s">
        <v>15</v>
      </c>
      <c r="G148" s="3">
        <v>1</v>
      </c>
      <c r="H148" s="3">
        <v>1200</v>
      </c>
      <c r="I148" s="3">
        <v>1200</v>
      </c>
      <c r="J148" s="3" t="s">
        <v>22</v>
      </c>
    </row>
    <row r="149" spans="1:10" ht="21.75" customHeight="1" x14ac:dyDescent="0.25">
      <c r="A149" s="3" t="s">
        <v>296</v>
      </c>
      <c r="B149" s="3" t="s">
        <v>297</v>
      </c>
      <c r="C149" s="3" t="s">
        <v>56</v>
      </c>
      <c r="D149" s="3" t="s">
        <v>38</v>
      </c>
      <c r="E149" s="3" t="s">
        <v>20</v>
      </c>
      <c r="F149" s="3" t="s">
        <v>75</v>
      </c>
      <c r="G149" s="3">
        <v>1</v>
      </c>
      <c r="H149" s="3">
        <v>800</v>
      </c>
      <c r="I149" s="3">
        <v>800</v>
      </c>
      <c r="J149" s="3" t="s">
        <v>53</v>
      </c>
    </row>
    <row r="150" spans="1:10" ht="21.75" customHeight="1" x14ac:dyDescent="0.25">
      <c r="A150" s="3" t="s">
        <v>298</v>
      </c>
      <c r="B150" s="3" t="s">
        <v>271</v>
      </c>
      <c r="C150" s="3" t="s">
        <v>25</v>
      </c>
      <c r="D150" s="3" t="s">
        <v>13</v>
      </c>
      <c r="E150" s="3" t="s">
        <v>27</v>
      </c>
      <c r="F150" s="3" t="s">
        <v>42</v>
      </c>
      <c r="G150" s="3">
        <v>1</v>
      </c>
      <c r="H150" s="3">
        <v>3000</v>
      </c>
      <c r="I150" s="3">
        <v>3000</v>
      </c>
      <c r="J150" s="3" t="s">
        <v>115</v>
      </c>
    </row>
    <row r="151" spans="1:10" ht="21.75" customHeight="1" x14ac:dyDescent="0.25">
      <c r="A151" s="3" t="s">
        <v>299</v>
      </c>
      <c r="B151" s="3" t="s">
        <v>300</v>
      </c>
      <c r="C151" s="3" t="s">
        <v>45</v>
      </c>
      <c r="D151" s="3" t="s">
        <v>38</v>
      </c>
      <c r="E151" s="3" t="s">
        <v>14</v>
      </c>
      <c r="F151" s="3" t="s">
        <v>33</v>
      </c>
      <c r="G151" s="3">
        <v>4</v>
      </c>
      <c r="H151" s="3">
        <v>2500</v>
      </c>
      <c r="I151" s="3">
        <v>10000</v>
      </c>
      <c r="J151" s="3" t="s">
        <v>53</v>
      </c>
    </row>
    <row r="152" spans="1:10" ht="21.75" customHeight="1" x14ac:dyDescent="0.25">
      <c r="A152" s="3" t="s">
        <v>301</v>
      </c>
      <c r="B152" s="3" t="s">
        <v>264</v>
      </c>
      <c r="C152" s="3" t="s">
        <v>60</v>
      </c>
      <c r="D152" s="3" t="s">
        <v>26</v>
      </c>
      <c r="E152" s="3" t="s">
        <v>27</v>
      </c>
      <c r="F152" s="3" t="s">
        <v>78</v>
      </c>
      <c r="G152" s="3">
        <v>1</v>
      </c>
      <c r="H152" s="3">
        <v>2200</v>
      </c>
      <c r="I152" s="3">
        <v>2200</v>
      </c>
      <c r="J152" s="3" t="s">
        <v>16</v>
      </c>
    </row>
    <row r="153" spans="1:10" ht="21.75" customHeight="1" x14ac:dyDescent="0.25">
      <c r="A153" s="3" t="s">
        <v>302</v>
      </c>
      <c r="B153" s="3" t="s">
        <v>31</v>
      </c>
      <c r="C153" s="3" t="s">
        <v>12</v>
      </c>
      <c r="D153" s="3" t="s">
        <v>26</v>
      </c>
      <c r="E153" s="3" t="s">
        <v>27</v>
      </c>
      <c r="F153" s="3" t="s">
        <v>42</v>
      </c>
      <c r="G153" s="3">
        <v>2</v>
      </c>
      <c r="H153" s="3">
        <v>3000</v>
      </c>
      <c r="I153" s="3">
        <v>6000</v>
      </c>
      <c r="J153" s="3" t="s">
        <v>22</v>
      </c>
    </row>
    <row r="154" spans="1:10" ht="21.75" customHeight="1" x14ac:dyDescent="0.25">
      <c r="A154" s="3" t="s">
        <v>303</v>
      </c>
      <c r="B154" s="3" t="s">
        <v>137</v>
      </c>
      <c r="C154" s="3" t="s">
        <v>19</v>
      </c>
      <c r="D154" s="3" t="s">
        <v>38</v>
      </c>
      <c r="E154" s="3" t="s">
        <v>14</v>
      </c>
      <c r="F154" s="3" t="s">
        <v>84</v>
      </c>
      <c r="G154" s="3">
        <v>1</v>
      </c>
      <c r="H154" s="3">
        <v>900</v>
      </c>
      <c r="I154" s="3">
        <v>900</v>
      </c>
      <c r="J154" s="3" t="s">
        <v>65</v>
      </c>
    </row>
    <row r="155" spans="1:10" ht="21.75" customHeight="1" x14ac:dyDescent="0.25">
      <c r="A155" s="3" t="s">
        <v>304</v>
      </c>
      <c r="B155" s="3" t="s">
        <v>305</v>
      </c>
      <c r="C155" s="3" t="s">
        <v>48</v>
      </c>
      <c r="D155" s="3" t="s">
        <v>13</v>
      </c>
      <c r="E155" s="3" t="s">
        <v>27</v>
      </c>
      <c r="F155" s="3" t="s">
        <v>78</v>
      </c>
      <c r="G155" s="3">
        <v>1</v>
      </c>
      <c r="H155" s="3">
        <v>2200</v>
      </c>
      <c r="I155" s="3">
        <v>2200</v>
      </c>
      <c r="J155" s="3" t="s">
        <v>29</v>
      </c>
    </row>
    <row r="156" spans="1:10" ht="21.75" customHeight="1" x14ac:dyDescent="0.25">
      <c r="A156" s="3" t="s">
        <v>306</v>
      </c>
      <c r="B156" s="3" t="s">
        <v>305</v>
      </c>
      <c r="C156" s="3" t="s">
        <v>25</v>
      </c>
      <c r="D156" s="3" t="s">
        <v>13</v>
      </c>
      <c r="E156" s="3" t="s">
        <v>27</v>
      </c>
      <c r="F156" s="3" t="s">
        <v>42</v>
      </c>
      <c r="G156" s="3">
        <v>1</v>
      </c>
      <c r="H156" s="3">
        <v>3000</v>
      </c>
      <c r="I156" s="3">
        <v>3000</v>
      </c>
      <c r="J156" s="3" t="s">
        <v>29</v>
      </c>
    </row>
    <row r="157" spans="1:10" ht="21.75" customHeight="1" x14ac:dyDescent="0.25">
      <c r="A157" s="3" t="s">
        <v>307</v>
      </c>
      <c r="B157" s="3" t="s">
        <v>308</v>
      </c>
      <c r="C157" s="3" t="s">
        <v>48</v>
      </c>
      <c r="D157" s="3" t="s">
        <v>26</v>
      </c>
      <c r="E157" s="3" t="s">
        <v>20</v>
      </c>
      <c r="F157" s="3" t="s">
        <v>92</v>
      </c>
      <c r="G157" s="3">
        <v>4</v>
      </c>
      <c r="H157" s="3">
        <v>1500</v>
      </c>
      <c r="I157" s="3">
        <v>6000</v>
      </c>
      <c r="J157" s="3" t="s">
        <v>22</v>
      </c>
    </row>
    <row r="158" spans="1:10" ht="21.75" customHeight="1" x14ac:dyDescent="0.25">
      <c r="A158" s="3" t="s">
        <v>309</v>
      </c>
      <c r="B158" s="3" t="s">
        <v>173</v>
      </c>
      <c r="C158" s="3" t="s">
        <v>32</v>
      </c>
      <c r="D158" s="3" t="s">
        <v>38</v>
      </c>
      <c r="E158" s="3" t="s">
        <v>20</v>
      </c>
      <c r="F158" s="3" t="s">
        <v>92</v>
      </c>
      <c r="G158" s="3">
        <v>3</v>
      </c>
      <c r="H158" s="3">
        <v>1500</v>
      </c>
      <c r="I158" s="3">
        <v>4500</v>
      </c>
      <c r="J158" s="3" t="s">
        <v>22</v>
      </c>
    </row>
    <row r="159" spans="1:10" ht="21.75" customHeight="1" x14ac:dyDescent="0.25">
      <c r="A159" s="3" t="s">
        <v>310</v>
      </c>
      <c r="B159" s="3" t="s">
        <v>244</v>
      </c>
      <c r="C159" s="3" t="s">
        <v>52</v>
      </c>
      <c r="D159" s="3" t="s">
        <v>13</v>
      </c>
      <c r="E159" s="3" t="s">
        <v>27</v>
      </c>
      <c r="F159" s="3" t="s">
        <v>42</v>
      </c>
      <c r="G159" s="3">
        <v>2</v>
      </c>
      <c r="H159" s="3">
        <v>3000</v>
      </c>
      <c r="I159" s="3">
        <v>6000</v>
      </c>
      <c r="J159" s="3" t="s">
        <v>65</v>
      </c>
    </row>
    <row r="160" spans="1:10" ht="21.75" customHeight="1" x14ac:dyDescent="0.25">
      <c r="A160" s="3" t="s">
        <v>311</v>
      </c>
      <c r="B160" s="3" t="s">
        <v>236</v>
      </c>
      <c r="C160" s="3" t="s">
        <v>25</v>
      </c>
      <c r="D160" s="3" t="s">
        <v>49</v>
      </c>
      <c r="E160" s="3" t="s">
        <v>14</v>
      </c>
      <c r="F160" s="3" t="s">
        <v>15</v>
      </c>
      <c r="G160" s="3">
        <v>4</v>
      </c>
      <c r="H160" s="3">
        <v>1200</v>
      </c>
      <c r="I160" s="3">
        <v>4800</v>
      </c>
      <c r="J160" s="3" t="s">
        <v>22</v>
      </c>
    </row>
    <row r="161" spans="1:10" ht="21.75" customHeight="1" x14ac:dyDescent="0.25">
      <c r="A161" s="3" t="s">
        <v>312</v>
      </c>
      <c r="B161" s="3" t="s">
        <v>171</v>
      </c>
      <c r="C161" s="3" t="s">
        <v>81</v>
      </c>
      <c r="D161" s="3" t="s">
        <v>38</v>
      </c>
      <c r="E161" s="3" t="s">
        <v>27</v>
      </c>
      <c r="F161" s="3" t="s">
        <v>28</v>
      </c>
      <c r="G161" s="3">
        <v>2</v>
      </c>
      <c r="H161" s="3">
        <v>300</v>
      </c>
      <c r="I161" s="3">
        <v>600</v>
      </c>
      <c r="J161" s="3" t="s">
        <v>29</v>
      </c>
    </row>
    <row r="162" spans="1:10" ht="21.75" customHeight="1" x14ac:dyDescent="0.25">
      <c r="A162" s="3" t="s">
        <v>313</v>
      </c>
      <c r="B162" s="3" t="s">
        <v>314</v>
      </c>
      <c r="C162" s="3" t="s">
        <v>48</v>
      </c>
      <c r="D162" s="3" t="s">
        <v>13</v>
      </c>
      <c r="E162" s="3" t="s">
        <v>20</v>
      </c>
      <c r="F162" s="3" t="s">
        <v>21</v>
      </c>
      <c r="G162" s="3">
        <v>3</v>
      </c>
      <c r="H162" s="3">
        <v>3500</v>
      </c>
      <c r="I162" s="3">
        <v>10500</v>
      </c>
      <c r="J162" s="3" t="s">
        <v>65</v>
      </c>
    </row>
    <row r="163" spans="1:10" ht="21.75" customHeight="1" x14ac:dyDescent="0.25">
      <c r="A163" s="3" t="s">
        <v>315</v>
      </c>
      <c r="B163" s="3" t="s">
        <v>316</v>
      </c>
      <c r="C163" s="3" t="s">
        <v>56</v>
      </c>
      <c r="D163" s="3" t="s">
        <v>13</v>
      </c>
      <c r="E163" s="3" t="s">
        <v>14</v>
      </c>
      <c r="F163" s="3" t="s">
        <v>68</v>
      </c>
      <c r="G163" s="3">
        <v>3</v>
      </c>
      <c r="H163" s="3">
        <v>500</v>
      </c>
      <c r="I163" s="3">
        <v>1500</v>
      </c>
      <c r="J163" s="3" t="s">
        <v>65</v>
      </c>
    </row>
    <row r="164" spans="1:10" ht="21.75" customHeight="1" x14ac:dyDescent="0.25">
      <c r="A164" s="3" t="s">
        <v>317</v>
      </c>
      <c r="B164" s="3" t="s">
        <v>213</v>
      </c>
      <c r="C164" s="3" t="s">
        <v>48</v>
      </c>
      <c r="D164" s="3" t="s">
        <v>38</v>
      </c>
      <c r="E164" s="3" t="s">
        <v>27</v>
      </c>
      <c r="F164" s="3" t="s">
        <v>28</v>
      </c>
      <c r="G164" s="3">
        <v>2</v>
      </c>
      <c r="H164" s="3">
        <v>300</v>
      </c>
      <c r="I164" s="3">
        <v>600</v>
      </c>
      <c r="J164" s="3" t="s">
        <v>22</v>
      </c>
    </row>
    <row r="165" spans="1:10" ht="21.75" customHeight="1" x14ac:dyDescent="0.25">
      <c r="A165" s="3" t="s">
        <v>318</v>
      </c>
      <c r="B165" s="3" t="s">
        <v>262</v>
      </c>
      <c r="C165" s="3" t="s">
        <v>81</v>
      </c>
      <c r="D165" s="3" t="s">
        <v>38</v>
      </c>
      <c r="E165" s="3" t="s">
        <v>27</v>
      </c>
      <c r="F165" s="3" t="s">
        <v>78</v>
      </c>
      <c r="G165" s="3">
        <v>5</v>
      </c>
      <c r="H165" s="3">
        <v>2200</v>
      </c>
      <c r="I165" s="3">
        <v>11000</v>
      </c>
      <c r="J165" s="3" t="s">
        <v>16</v>
      </c>
    </row>
    <row r="166" spans="1:10" ht="21.75" customHeight="1" x14ac:dyDescent="0.25">
      <c r="A166" s="3" t="s">
        <v>319</v>
      </c>
      <c r="B166" s="3" t="s">
        <v>320</v>
      </c>
      <c r="C166" s="3" t="s">
        <v>81</v>
      </c>
      <c r="D166" s="3" t="s">
        <v>26</v>
      </c>
      <c r="E166" s="3" t="s">
        <v>27</v>
      </c>
      <c r="F166" s="3" t="s">
        <v>42</v>
      </c>
      <c r="G166" s="3">
        <v>2</v>
      </c>
      <c r="H166" s="3">
        <v>3000</v>
      </c>
      <c r="I166" s="3">
        <v>6000</v>
      </c>
      <c r="J166" s="3" t="s">
        <v>16</v>
      </c>
    </row>
    <row r="167" spans="1:10" ht="21.75" customHeight="1" x14ac:dyDescent="0.25">
      <c r="A167" s="3" t="s">
        <v>321</v>
      </c>
      <c r="B167" s="3" t="s">
        <v>283</v>
      </c>
      <c r="C167" s="3" t="s">
        <v>25</v>
      </c>
      <c r="D167" s="3" t="s">
        <v>26</v>
      </c>
      <c r="E167" s="3" t="s">
        <v>27</v>
      </c>
      <c r="F167" s="3" t="s">
        <v>78</v>
      </c>
      <c r="G167" s="3">
        <v>4</v>
      </c>
      <c r="H167" s="3">
        <v>2200</v>
      </c>
      <c r="I167" s="3">
        <v>8800</v>
      </c>
      <c r="J167" s="3" t="s">
        <v>16</v>
      </c>
    </row>
    <row r="168" spans="1:10" ht="21.75" customHeight="1" x14ac:dyDescent="0.25">
      <c r="A168" s="3" t="s">
        <v>322</v>
      </c>
      <c r="B168" s="3" t="s">
        <v>323</v>
      </c>
      <c r="C168" s="3" t="s">
        <v>81</v>
      </c>
      <c r="D168" s="3" t="s">
        <v>38</v>
      </c>
      <c r="E168" s="3" t="s">
        <v>20</v>
      </c>
      <c r="F168" s="3" t="s">
        <v>75</v>
      </c>
      <c r="G168" s="3">
        <v>5</v>
      </c>
      <c r="H168" s="3">
        <v>800</v>
      </c>
      <c r="I168" s="3">
        <v>4000</v>
      </c>
      <c r="J168" s="3" t="s">
        <v>16</v>
      </c>
    </row>
    <row r="169" spans="1:10" ht="21.75" customHeight="1" x14ac:dyDescent="0.25">
      <c r="A169" s="3" t="s">
        <v>324</v>
      </c>
      <c r="B169" s="3" t="s">
        <v>180</v>
      </c>
      <c r="C169" s="3" t="s">
        <v>25</v>
      </c>
      <c r="D169" s="3" t="s">
        <v>49</v>
      </c>
      <c r="E169" s="3" t="s">
        <v>20</v>
      </c>
      <c r="F169" s="3" t="s">
        <v>21</v>
      </c>
      <c r="G169" s="3">
        <v>5</v>
      </c>
      <c r="H169" s="3">
        <v>3500</v>
      </c>
      <c r="I169" s="3">
        <v>17500</v>
      </c>
      <c r="J169" s="3" t="s">
        <v>29</v>
      </c>
    </row>
    <row r="170" spans="1:10" ht="21.75" customHeight="1" x14ac:dyDescent="0.25">
      <c r="A170" s="3" t="s">
        <v>325</v>
      </c>
      <c r="B170" s="3" t="s">
        <v>326</v>
      </c>
      <c r="C170" s="3" t="s">
        <v>81</v>
      </c>
      <c r="D170" s="3" t="s">
        <v>13</v>
      </c>
      <c r="E170" s="3" t="s">
        <v>20</v>
      </c>
      <c r="F170" s="3" t="s">
        <v>21</v>
      </c>
      <c r="G170" s="3">
        <v>5</v>
      </c>
      <c r="H170" s="3">
        <v>3500</v>
      </c>
      <c r="I170" s="3">
        <v>17500</v>
      </c>
      <c r="J170" s="3" t="s">
        <v>29</v>
      </c>
    </row>
    <row r="171" spans="1:10" ht="21.75" customHeight="1" x14ac:dyDescent="0.25">
      <c r="A171" s="3" t="s">
        <v>327</v>
      </c>
      <c r="B171" s="3" t="s">
        <v>137</v>
      </c>
      <c r="C171" s="3" t="s">
        <v>56</v>
      </c>
      <c r="D171" s="3" t="s">
        <v>26</v>
      </c>
      <c r="E171" s="3" t="s">
        <v>27</v>
      </c>
      <c r="F171" s="3" t="s">
        <v>78</v>
      </c>
      <c r="G171" s="3">
        <v>4</v>
      </c>
      <c r="H171" s="3">
        <v>2200</v>
      </c>
      <c r="I171" s="3">
        <v>8800</v>
      </c>
      <c r="J171" s="3" t="s">
        <v>65</v>
      </c>
    </row>
    <row r="172" spans="1:10" ht="21.75" customHeight="1" x14ac:dyDescent="0.25">
      <c r="A172" s="3" t="s">
        <v>328</v>
      </c>
      <c r="B172" s="3" t="s">
        <v>94</v>
      </c>
      <c r="C172" s="3" t="s">
        <v>52</v>
      </c>
      <c r="D172" s="3" t="s">
        <v>38</v>
      </c>
      <c r="E172" s="3" t="s">
        <v>20</v>
      </c>
      <c r="F172" s="3" t="s">
        <v>75</v>
      </c>
      <c r="G172" s="3">
        <v>3</v>
      </c>
      <c r="H172" s="3">
        <v>800</v>
      </c>
      <c r="I172" s="3">
        <v>2400</v>
      </c>
      <c r="J172" s="3" t="s">
        <v>65</v>
      </c>
    </row>
    <row r="173" spans="1:10" ht="21.75" customHeight="1" x14ac:dyDescent="0.25">
      <c r="A173" s="3" t="s">
        <v>329</v>
      </c>
      <c r="B173" s="3" t="s">
        <v>330</v>
      </c>
      <c r="C173" s="3" t="s">
        <v>81</v>
      </c>
      <c r="D173" s="3" t="s">
        <v>26</v>
      </c>
      <c r="E173" s="3" t="s">
        <v>14</v>
      </c>
      <c r="F173" s="3" t="s">
        <v>33</v>
      </c>
      <c r="G173" s="3">
        <v>4</v>
      </c>
      <c r="H173" s="3">
        <v>2500</v>
      </c>
      <c r="I173" s="3">
        <v>10000</v>
      </c>
      <c r="J173" s="3" t="s">
        <v>29</v>
      </c>
    </row>
    <row r="174" spans="1:10" ht="21.75" customHeight="1" x14ac:dyDescent="0.25">
      <c r="A174" s="3" t="s">
        <v>331</v>
      </c>
      <c r="B174" s="3" t="s">
        <v>158</v>
      </c>
      <c r="C174" s="3" t="s">
        <v>60</v>
      </c>
      <c r="D174" s="3" t="s">
        <v>49</v>
      </c>
      <c r="E174" s="3" t="s">
        <v>20</v>
      </c>
      <c r="F174" s="3" t="s">
        <v>21</v>
      </c>
      <c r="G174" s="3">
        <v>4</v>
      </c>
      <c r="H174" s="3">
        <v>3500</v>
      </c>
      <c r="I174" s="3">
        <v>14000</v>
      </c>
      <c r="J174" s="3" t="s">
        <v>115</v>
      </c>
    </row>
    <row r="175" spans="1:10" ht="21.75" customHeight="1" x14ac:dyDescent="0.25">
      <c r="A175" s="3" t="s">
        <v>332</v>
      </c>
      <c r="B175" s="3" t="s">
        <v>35</v>
      </c>
      <c r="C175" s="3" t="s">
        <v>45</v>
      </c>
      <c r="D175" s="3" t="s">
        <v>26</v>
      </c>
      <c r="E175" s="3" t="s">
        <v>14</v>
      </c>
      <c r="F175" s="3" t="s">
        <v>68</v>
      </c>
      <c r="G175" s="3">
        <v>2</v>
      </c>
      <c r="H175" s="3">
        <v>500</v>
      </c>
      <c r="I175" s="3">
        <v>1000</v>
      </c>
      <c r="J175" s="3" t="s">
        <v>16</v>
      </c>
    </row>
    <row r="176" spans="1:10" ht="21.75" customHeight="1" x14ac:dyDescent="0.25">
      <c r="A176" s="3" t="s">
        <v>333</v>
      </c>
      <c r="B176" s="3" t="s">
        <v>145</v>
      </c>
      <c r="C176" s="3" t="s">
        <v>32</v>
      </c>
      <c r="D176" s="3" t="s">
        <v>49</v>
      </c>
      <c r="E176" s="3" t="s">
        <v>14</v>
      </c>
      <c r="F176" s="3" t="s">
        <v>33</v>
      </c>
      <c r="G176" s="3">
        <v>2</v>
      </c>
      <c r="H176" s="3">
        <v>2500</v>
      </c>
      <c r="I176" s="3">
        <v>5000</v>
      </c>
      <c r="J176" s="3" t="s">
        <v>115</v>
      </c>
    </row>
    <row r="177" spans="1:10" ht="21.75" customHeight="1" x14ac:dyDescent="0.25">
      <c r="A177" s="3" t="s">
        <v>334</v>
      </c>
      <c r="B177" s="3" t="s">
        <v>335</v>
      </c>
      <c r="C177" s="3" t="s">
        <v>60</v>
      </c>
      <c r="D177" s="3" t="s">
        <v>26</v>
      </c>
      <c r="E177" s="3" t="s">
        <v>20</v>
      </c>
      <c r="F177" s="3" t="s">
        <v>75</v>
      </c>
      <c r="G177" s="3">
        <v>5</v>
      </c>
      <c r="H177" s="3">
        <v>800</v>
      </c>
      <c r="I177" s="3">
        <v>4000</v>
      </c>
      <c r="J177" s="3" t="s">
        <v>29</v>
      </c>
    </row>
    <row r="178" spans="1:10" ht="21.75" customHeight="1" x14ac:dyDescent="0.25">
      <c r="A178" s="3" t="s">
        <v>336</v>
      </c>
      <c r="B178" s="3" t="s">
        <v>337</v>
      </c>
      <c r="C178" s="3" t="s">
        <v>52</v>
      </c>
      <c r="D178" s="3" t="s">
        <v>49</v>
      </c>
      <c r="E178" s="3" t="s">
        <v>14</v>
      </c>
      <c r="F178" s="3" t="s">
        <v>57</v>
      </c>
      <c r="G178" s="3">
        <v>3</v>
      </c>
      <c r="H178" s="3">
        <v>1800</v>
      </c>
      <c r="I178" s="3">
        <v>5400</v>
      </c>
      <c r="J178" s="3" t="s">
        <v>22</v>
      </c>
    </row>
    <row r="179" spans="1:10" ht="21.75" customHeight="1" x14ac:dyDescent="0.25">
      <c r="A179" s="3" t="s">
        <v>338</v>
      </c>
      <c r="B179" s="3" t="s">
        <v>339</v>
      </c>
      <c r="C179" s="3" t="s">
        <v>60</v>
      </c>
      <c r="D179" s="3" t="s">
        <v>49</v>
      </c>
      <c r="E179" s="3" t="s">
        <v>14</v>
      </c>
      <c r="F179" s="3" t="s">
        <v>33</v>
      </c>
      <c r="G179" s="3">
        <v>1</v>
      </c>
      <c r="H179" s="3">
        <v>2500</v>
      </c>
      <c r="I179" s="3">
        <v>2500</v>
      </c>
      <c r="J179" s="3" t="s">
        <v>53</v>
      </c>
    </row>
    <row r="180" spans="1:10" ht="21.75" customHeight="1" x14ac:dyDescent="0.25">
      <c r="A180" s="3" t="s">
        <v>340</v>
      </c>
      <c r="B180" s="3" t="s">
        <v>238</v>
      </c>
      <c r="C180" s="3" t="s">
        <v>19</v>
      </c>
      <c r="D180" s="3" t="s">
        <v>49</v>
      </c>
      <c r="E180" s="3" t="s">
        <v>20</v>
      </c>
      <c r="F180" s="3" t="s">
        <v>112</v>
      </c>
      <c r="G180" s="3">
        <v>1</v>
      </c>
      <c r="H180" s="3">
        <v>1200</v>
      </c>
      <c r="I180" s="3">
        <v>1200</v>
      </c>
      <c r="J180" s="3" t="s">
        <v>53</v>
      </c>
    </row>
    <row r="181" spans="1:10" ht="21.75" customHeight="1" x14ac:dyDescent="0.25">
      <c r="A181" s="3" t="s">
        <v>341</v>
      </c>
      <c r="B181" s="3" t="s">
        <v>342</v>
      </c>
      <c r="C181" s="3" t="s">
        <v>19</v>
      </c>
      <c r="D181" s="3" t="s">
        <v>49</v>
      </c>
      <c r="E181" s="3" t="s">
        <v>27</v>
      </c>
      <c r="F181" s="3" t="s">
        <v>78</v>
      </c>
      <c r="G181" s="3">
        <v>5</v>
      </c>
      <c r="H181" s="3">
        <v>2200</v>
      </c>
      <c r="I181" s="3">
        <v>11000</v>
      </c>
      <c r="J181" s="3" t="s">
        <v>29</v>
      </c>
    </row>
    <row r="182" spans="1:10" ht="21.75" customHeight="1" x14ac:dyDescent="0.25">
      <c r="A182" s="3" t="s">
        <v>343</v>
      </c>
      <c r="B182" s="3" t="s">
        <v>227</v>
      </c>
      <c r="C182" s="3" t="s">
        <v>19</v>
      </c>
      <c r="D182" s="3" t="s">
        <v>38</v>
      </c>
      <c r="E182" s="3" t="s">
        <v>27</v>
      </c>
      <c r="F182" s="3" t="s">
        <v>28</v>
      </c>
      <c r="G182" s="3">
        <v>2</v>
      </c>
      <c r="H182" s="3">
        <v>300</v>
      </c>
      <c r="I182" s="3">
        <v>600</v>
      </c>
      <c r="J182" s="3" t="s">
        <v>65</v>
      </c>
    </row>
    <row r="183" spans="1:10" ht="21.75" customHeight="1" x14ac:dyDescent="0.25">
      <c r="A183" s="3" t="s">
        <v>344</v>
      </c>
      <c r="B183" s="3" t="s">
        <v>160</v>
      </c>
      <c r="C183" s="3" t="s">
        <v>45</v>
      </c>
      <c r="D183" s="3" t="s">
        <v>49</v>
      </c>
      <c r="E183" s="3" t="s">
        <v>20</v>
      </c>
      <c r="F183" s="3" t="s">
        <v>112</v>
      </c>
      <c r="G183" s="3">
        <v>2</v>
      </c>
      <c r="H183" s="3">
        <v>1200</v>
      </c>
      <c r="I183" s="3">
        <v>2400</v>
      </c>
      <c r="J183" s="3" t="s">
        <v>65</v>
      </c>
    </row>
    <row r="184" spans="1:10" ht="21.75" customHeight="1" x14ac:dyDescent="0.25">
      <c r="A184" s="3" t="s">
        <v>345</v>
      </c>
      <c r="B184" s="3" t="s">
        <v>117</v>
      </c>
      <c r="C184" s="3" t="s">
        <v>52</v>
      </c>
      <c r="D184" s="3" t="s">
        <v>49</v>
      </c>
      <c r="E184" s="3" t="s">
        <v>20</v>
      </c>
      <c r="F184" s="3" t="s">
        <v>75</v>
      </c>
      <c r="G184" s="3">
        <v>4</v>
      </c>
      <c r="H184" s="3">
        <v>800</v>
      </c>
      <c r="I184" s="3">
        <v>3200</v>
      </c>
      <c r="J184" s="3" t="s">
        <v>22</v>
      </c>
    </row>
    <row r="185" spans="1:10" ht="21.75" customHeight="1" x14ac:dyDescent="0.25">
      <c r="A185" s="3" t="s">
        <v>346</v>
      </c>
      <c r="B185" s="3" t="s">
        <v>347</v>
      </c>
      <c r="C185" s="3" t="s">
        <v>60</v>
      </c>
      <c r="D185" s="3" t="s">
        <v>38</v>
      </c>
      <c r="E185" s="3" t="s">
        <v>14</v>
      </c>
      <c r="F185" s="3" t="s">
        <v>68</v>
      </c>
      <c r="G185" s="3">
        <v>1</v>
      </c>
      <c r="H185" s="3">
        <v>500</v>
      </c>
      <c r="I185" s="3">
        <v>500</v>
      </c>
      <c r="J185" s="3" t="s">
        <v>53</v>
      </c>
    </row>
    <row r="186" spans="1:10" ht="21.75" customHeight="1" x14ac:dyDescent="0.25">
      <c r="A186" s="3" t="s">
        <v>348</v>
      </c>
      <c r="B186" s="3" t="s">
        <v>209</v>
      </c>
      <c r="C186" s="3" t="s">
        <v>81</v>
      </c>
      <c r="D186" s="3" t="s">
        <v>49</v>
      </c>
      <c r="E186" s="3" t="s">
        <v>20</v>
      </c>
      <c r="F186" s="3" t="s">
        <v>39</v>
      </c>
      <c r="G186" s="3">
        <v>2</v>
      </c>
      <c r="H186" s="3">
        <v>600</v>
      </c>
      <c r="I186" s="3">
        <v>1200</v>
      </c>
      <c r="J186" s="3" t="s">
        <v>22</v>
      </c>
    </row>
    <row r="187" spans="1:10" ht="21.75" customHeight="1" x14ac:dyDescent="0.25">
      <c r="A187" s="3" t="s">
        <v>349</v>
      </c>
      <c r="B187" s="3" t="s">
        <v>135</v>
      </c>
      <c r="C187" s="3" t="s">
        <v>32</v>
      </c>
      <c r="D187" s="3" t="s">
        <v>13</v>
      </c>
      <c r="E187" s="3" t="s">
        <v>27</v>
      </c>
      <c r="F187" s="3" t="s">
        <v>103</v>
      </c>
      <c r="G187" s="3">
        <v>5</v>
      </c>
      <c r="H187" s="3">
        <v>4500</v>
      </c>
      <c r="I187" s="3">
        <v>22500</v>
      </c>
      <c r="J187" s="3" t="s">
        <v>115</v>
      </c>
    </row>
    <row r="188" spans="1:10" ht="21.75" customHeight="1" x14ac:dyDescent="0.25">
      <c r="A188" s="3" t="s">
        <v>350</v>
      </c>
      <c r="B188" s="3" t="s">
        <v>184</v>
      </c>
      <c r="C188" s="3" t="s">
        <v>45</v>
      </c>
      <c r="D188" s="3" t="s">
        <v>38</v>
      </c>
      <c r="E188" s="3" t="s">
        <v>14</v>
      </c>
      <c r="F188" s="3" t="s">
        <v>68</v>
      </c>
      <c r="G188" s="3">
        <v>3</v>
      </c>
      <c r="H188" s="3">
        <v>500</v>
      </c>
      <c r="I188" s="3">
        <v>1500</v>
      </c>
      <c r="J188" s="3" t="s">
        <v>16</v>
      </c>
    </row>
    <row r="189" spans="1:10" ht="21.75" customHeight="1" x14ac:dyDescent="0.25">
      <c r="A189" s="3" t="s">
        <v>351</v>
      </c>
      <c r="B189" s="3" t="s">
        <v>169</v>
      </c>
      <c r="C189" s="3" t="s">
        <v>25</v>
      </c>
      <c r="D189" s="3" t="s">
        <v>26</v>
      </c>
      <c r="E189" s="3" t="s">
        <v>27</v>
      </c>
      <c r="F189" s="3" t="s">
        <v>78</v>
      </c>
      <c r="G189" s="3">
        <v>4</v>
      </c>
      <c r="H189" s="3">
        <v>2200</v>
      </c>
      <c r="I189" s="3">
        <v>8800</v>
      </c>
      <c r="J189" s="3" t="s">
        <v>115</v>
      </c>
    </row>
    <row r="190" spans="1:10" ht="21.75" customHeight="1" x14ac:dyDescent="0.25">
      <c r="A190" s="3" t="s">
        <v>352</v>
      </c>
      <c r="B190" s="3" t="s">
        <v>271</v>
      </c>
      <c r="C190" s="3" t="s">
        <v>12</v>
      </c>
      <c r="D190" s="3" t="s">
        <v>38</v>
      </c>
      <c r="E190" s="3" t="s">
        <v>20</v>
      </c>
      <c r="F190" s="3" t="s">
        <v>75</v>
      </c>
      <c r="G190" s="3">
        <v>1</v>
      </c>
      <c r="H190" s="3">
        <v>800</v>
      </c>
      <c r="I190" s="3">
        <v>800</v>
      </c>
      <c r="J190" s="3" t="s">
        <v>115</v>
      </c>
    </row>
    <row r="191" spans="1:10" ht="21.75" customHeight="1" x14ac:dyDescent="0.25">
      <c r="A191" s="3" t="s">
        <v>353</v>
      </c>
      <c r="B191" s="3" t="s">
        <v>354</v>
      </c>
      <c r="C191" s="3" t="s">
        <v>52</v>
      </c>
      <c r="D191" s="3" t="s">
        <v>26</v>
      </c>
      <c r="E191" s="3" t="s">
        <v>20</v>
      </c>
      <c r="F191" s="3" t="s">
        <v>112</v>
      </c>
      <c r="G191" s="3">
        <v>5</v>
      </c>
      <c r="H191" s="3">
        <v>1200</v>
      </c>
      <c r="I191" s="3">
        <v>6000</v>
      </c>
      <c r="J191" s="3" t="s">
        <v>53</v>
      </c>
    </row>
    <row r="192" spans="1:10" ht="21.75" customHeight="1" x14ac:dyDescent="0.25">
      <c r="A192" s="3" t="s">
        <v>355</v>
      </c>
      <c r="B192" s="3" t="s">
        <v>169</v>
      </c>
      <c r="C192" s="3" t="s">
        <v>19</v>
      </c>
      <c r="D192" s="3" t="s">
        <v>26</v>
      </c>
      <c r="E192" s="3" t="s">
        <v>27</v>
      </c>
      <c r="F192" s="3" t="s">
        <v>97</v>
      </c>
      <c r="G192" s="3">
        <v>2</v>
      </c>
      <c r="H192" s="3">
        <v>700</v>
      </c>
      <c r="I192" s="3">
        <v>1400</v>
      </c>
      <c r="J192" s="3" t="s">
        <v>115</v>
      </c>
    </row>
    <row r="193" spans="1:10" ht="21.75" customHeight="1" x14ac:dyDescent="0.25">
      <c r="A193" s="3" t="s">
        <v>356</v>
      </c>
      <c r="B193" s="3" t="s">
        <v>357</v>
      </c>
      <c r="C193" s="3" t="s">
        <v>48</v>
      </c>
      <c r="D193" s="3" t="s">
        <v>49</v>
      </c>
      <c r="E193" s="3" t="s">
        <v>20</v>
      </c>
      <c r="F193" s="3" t="s">
        <v>21</v>
      </c>
      <c r="G193" s="3">
        <v>4</v>
      </c>
      <c r="H193" s="3">
        <v>3500</v>
      </c>
      <c r="I193" s="3">
        <v>14000</v>
      </c>
      <c r="J193" s="3" t="s">
        <v>29</v>
      </c>
    </row>
    <row r="194" spans="1:10" ht="21.75" customHeight="1" x14ac:dyDescent="0.25">
      <c r="A194" s="3" t="s">
        <v>358</v>
      </c>
      <c r="B194" s="3" t="s">
        <v>359</v>
      </c>
      <c r="C194" s="3" t="s">
        <v>25</v>
      </c>
      <c r="D194" s="3" t="s">
        <v>26</v>
      </c>
      <c r="E194" s="3" t="s">
        <v>27</v>
      </c>
      <c r="F194" s="3" t="s">
        <v>97</v>
      </c>
      <c r="G194" s="3">
        <v>4</v>
      </c>
      <c r="H194" s="3">
        <v>700</v>
      </c>
      <c r="I194" s="3">
        <v>2800</v>
      </c>
      <c r="J194" s="3" t="s">
        <v>53</v>
      </c>
    </row>
    <row r="195" spans="1:10" ht="21.75" customHeight="1" x14ac:dyDescent="0.25">
      <c r="A195" s="3" t="s">
        <v>360</v>
      </c>
      <c r="B195" s="3" t="s">
        <v>326</v>
      </c>
      <c r="C195" s="3" t="s">
        <v>19</v>
      </c>
      <c r="D195" s="3" t="s">
        <v>38</v>
      </c>
      <c r="E195" s="3" t="s">
        <v>20</v>
      </c>
      <c r="F195" s="3" t="s">
        <v>75</v>
      </c>
      <c r="G195" s="3">
        <v>1</v>
      </c>
      <c r="H195" s="3">
        <v>800</v>
      </c>
      <c r="I195" s="3">
        <v>800</v>
      </c>
      <c r="J195" s="3" t="s">
        <v>29</v>
      </c>
    </row>
    <row r="196" spans="1:10" ht="21.75" customHeight="1" x14ac:dyDescent="0.25">
      <c r="A196" s="3" t="s">
        <v>361</v>
      </c>
      <c r="B196" s="3" t="s">
        <v>218</v>
      </c>
      <c r="C196" s="3" t="s">
        <v>25</v>
      </c>
      <c r="D196" s="3" t="s">
        <v>38</v>
      </c>
      <c r="E196" s="3" t="s">
        <v>20</v>
      </c>
      <c r="F196" s="3" t="s">
        <v>21</v>
      </c>
      <c r="G196" s="3">
        <v>5</v>
      </c>
      <c r="H196" s="3">
        <v>3500</v>
      </c>
      <c r="I196" s="3">
        <v>17500</v>
      </c>
      <c r="J196" s="3" t="s">
        <v>29</v>
      </c>
    </row>
    <row r="197" spans="1:10" ht="21.75" customHeight="1" x14ac:dyDescent="0.25">
      <c r="A197" s="3" t="s">
        <v>362</v>
      </c>
      <c r="B197" s="3" t="s">
        <v>225</v>
      </c>
      <c r="C197" s="3" t="s">
        <v>32</v>
      </c>
      <c r="D197" s="3" t="s">
        <v>13</v>
      </c>
      <c r="E197" s="3" t="s">
        <v>27</v>
      </c>
      <c r="F197" s="3" t="s">
        <v>97</v>
      </c>
      <c r="G197" s="3">
        <v>2</v>
      </c>
      <c r="H197" s="3">
        <v>700</v>
      </c>
      <c r="I197" s="3">
        <v>1400</v>
      </c>
      <c r="J197" s="3" t="s">
        <v>115</v>
      </c>
    </row>
    <row r="198" spans="1:10" ht="21.75" customHeight="1" x14ac:dyDescent="0.25">
      <c r="A198" s="3" t="s">
        <v>363</v>
      </c>
      <c r="B198" s="3" t="s">
        <v>171</v>
      </c>
      <c r="C198" s="3" t="s">
        <v>12</v>
      </c>
      <c r="D198" s="3" t="s">
        <v>38</v>
      </c>
      <c r="E198" s="3" t="s">
        <v>14</v>
      </c>
      <c r="F198" s="3" t="s">
        <v>15</v>
      </c>
      <c r="G198" s="3">
        <v>1</v>
      </c>
      <c r="H198" s="3">
        <v>1200</v>
      </c>
      <c r="I198" s="3">
        <v>1200</v>
      </c>
      <c r="J198" s="3" t="s">
        <v>29</v>
      </c>
    </row>
    <row r="199" spans="1:10" ht="21.75" customHeight="1" x14ac:dyDescent="0.25">
      <c r="A199" s="3" t="s">
        <v>364</v>
      </c>
      <c r="B199" s="3" t="s">
        <v>291</v>
      </c>
      <c r="C199" s="3" t="s">
        <v>19</v>
      </c>
      <c r="D199" s="3" t="s">
        <v>13</v>
      </c>
      <c r="E199" s="3" t="s">
        <v>20</v>
      </c>
      <c r="F199" s="3" t="s">
        <v>92</v>
      </c>
      <c r="G199" s="3">
        <v>3</v>
      </c>
      <c r="H199" s="3">
        <v>1500</v>
      </c>
      <c r="I199" s="3">
        <v>4500</v>
      </c>
      <c r="J199" s="3" t="s">
        <v>16</v>
      </c>
    </row>
    <row r="200" spans="1:10" ht="21.75" customHeight="1" x14ac:dyDescent="0.25">
      <c r="A200" s="3" t="s">
        <v>365</v>
      </c>
      <c r="B200" s="3" t="s">
        <v>366</v>
      </c>
      <c r="C200" s="3" t="s">
        <v>60</v>
      </c>
      <c r="D200" s="3" t="s">
        <v>13</v>
      </c>
      <c r="E200" s="3" t="s">
        <v>20</v>
      </c>
      <c r="F200" s="3" t="s">
        <v>112</v>
      </c>
      <c r="G200" s="3">
        <v>2</v>
      </c>
      <c r="H200" s="3">
        <v>1200</v>
      </c>
      <c r="I200" s="3">
        <v>2400</v>
      </c>
      <c r="J200" s="3" t="s">
        <v>115</v>
      </c>
    </row>
    <row r="201" spans="1:10" ht="21.75" customHeight="1" x14ac:dyDescent="0.25">
      <c r="A201" s="3" t="s">
        <v>367</v>
      </c>
      <c r="B201" s="3" t="s">
        <v>368</v>
      </c>
      <c r="C201" s="3" t="s">
        <v>60</v>
      </c>
      <c r="D201" s="3" t="s">
        <v>38</v>
      </c>
      <c r="E201" s="3" t="s">
        <v>27</v>
      </c>
      <c r="F201" s="3" t="s">
        <v>28</v>
      </c>
      <c r="G201" s="3">
        <v>1</v>
      </c>
      <c r="H201" s="3">
        <v>300</v>
      </c>
      <c r="I201" s="3">
        <v>300</v>
      </c>
      <c r="J201" s="3" t="s">
        <v>29</v>
      </c>
    </row>
  </sheetData>
  <pageMargins left="0.75" right="0.75" top="1" bottom="1" header="0" footer="0"/>
  <pageSetup orientation="landscape"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9A419-3D1D-40AB-8A7A-C2CD29B5B4FC}">
  <dimension ref="A1:AG25"/>
  <sheetViews>
    <sheetView showGridLines="0" tabSelected="1" zoomScale="70" zoomScaleNormal="70" workbookViewId="0">
      <selection activeCell="AC20" sqref="AC20"/>
    </sheetView>
  </sheetViews>
  <sheetFormatPr defaultRowHeight="15" x14ac:dyDescent="0.25"/>
  <cols>
    <col min="1" max="26" width="9.140625" style="9"/>
  </cols>
  <sheetData>
    <row r="1" spans="33:33" ht="33" customHeight="1" x14ac:dyDescent="0.25"/>
    <row r="2" spans="33:33" ht="33" customHeight="1" x14ac:dyDescent="0.25"/>
    <row r="3" spans="33:33" ht="33" customHeight="1" x14ac:dyDescent="0.25"/>
    <row r="4" spans="33:33" ht="33" customHeight="1" x14ac:dyDescent="0.25"/>
    <row r="5" spans="33:33" ht="33" customHeight="1" x14ac:dyDescent="0.25"/>
    <row r="6" spans="33:33" ht="33" customHeight="1" x14ac:dyDescent="0.25"/>
    <row r="7" spans="33:33" ht="33" customHeight="1" x14ac:dyDescent="0.25"/>
    <row r="8" spans="33:33" ht="33" customHeight="1" x14ac:dyDescent="0.25"/>
    <row r="9" spans="33:33" ht="33" customHeight="1" x14ac:dyDescent="0.25"/>
    <row r="10" spans="33:33" ht="33" customHeight="1" x14ac:dyDescent="0.25"/>
    <row r="11" spans="33:33" ht="33" customHeight="1" x14ac:dyDescent="0.25">
      <c r="AG11" s="8"/>
    </row>
    <row r="12" spans="33:33" ht="33" customHeight="1" x14ac:dyDescent="0.25"/>
    <row r="13" spans="33:33" ht="33" customHeight="1" x14ac:dyDescent="0.25"/>
    <row r="14" spans="33:33" ht="33" customHeight="1" x14ac:dyDescent="0.25"/>
    <row r="15" spans="33:33" ht="33" customHeight="1" x14ac:dyDescent="0.25"/>
    <row r="16" spans="33:33" ht="33" customHeight="1" x14ac:dyDescent="0.25"/>
    <row r="17" ht="33" customHeight="1" x14ac:dyDescent="0.25"/>
    <row r="18" ht="33" customHeight="1" x14ac:dyDescent="0.25"/>
    <row r="19" ht="33" customHeight="1" x14ac:dyDescent="0.25"/>
    <row r="20" ht="33" customHeight="1" x14ac:dyDescent="0.25"/>
    <row r="21" ht="33" customHeight="1" x14ac:dyDescent="0.25"/>
    <row r="22" ht="33" customHeight="1" x14ac:dyDescent="0.25"/>
    <row r="23" ht="33" customHeight="1" x14ac:dyDescent="0.25"/>
    <row r="24" ht="33" customHeight="1" x14ac:dyDescent="0.25"/>
    <row r="25" ht="33"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23691a4021@MITS.COM</cp:lastModifiedBy>
  <dcterms:created xsi:type="dcterms:W3CDTF">2026-06-08T15:17:42Z</dcterms:created>
  <dcterms:modified xsi:type="dcterms:W3CDTF">2026-06-10T10:46:14Z</dcterms:modified>
</cp:coreProperties>
</file>